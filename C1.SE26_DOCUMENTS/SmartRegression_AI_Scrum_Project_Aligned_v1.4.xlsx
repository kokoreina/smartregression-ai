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CKH\"/>
    </mc:Choice>
  </mc:AlternateContent>
  <xr:revisionPtr revIDLastSave="0" documentId="13_ncr:1_{38F2D8F3-8004-4758-80D6-07EF4D6087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Product Backlog" sheetId="2" r:id="rId2"/>
    <sheet name="Sprint 1 Backlog" sheetId="3" r:id="rId3"/>
    <sheet name="Sprint 1 Reports" sheetId="4" r:id="rId4"/>
    <sheet name="Sprint 2 Backlog" sheetId="5" r:id="rId5"/>
    <sheet name="Sprint 2 Reports" sheetId="6" r:id="rId6"/>
    <sheet name="Sprint 3 Backlog" sheetId="7" r:id="rId7"/>
    <sheet name="Sprint 3 Reports" sheetId="8" r:id="rId8"/>
    <sheet name="Sprint 4 Backlog" sheetId="9" r:id="rId9"/>
    <sheet name="Sprint 4 Reports" sheetId="10" r:id="rId10"/>
    <sheet name="Impediment" sheetId="11" r:id="rId11"/>
    <sheet name="Retrospective" sheetId="12" r:id="rId12"/>
    <sheet name="References" sheetId="13" r:id="rId13"/>
    <sheet name="Sheet1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9" i="9" l="1"/>
  <c r="AA48" i="9"/>
  <c r="AA47" i="9"/>
  <c r="AA46" i="9"/>
  <c r="AA45" i="9"/>
  <c r="AA50" i="9" s="1"/>
  <c r="M40" i="9"/>
  <c r="N40" i="9" s="1"/>
  <c r="O40" i="9" s="1"/>
  <c r="P40" i="9" s="1"/>
  <c r="Q40" i="9" s="1"/>
  <c r="R40" i="9" s="1"/>
  <c r="S40" i="9" s="1"/>
  <c r="T40" i="9" s="1"/>
  <c r="U40" i="9" s="1"/>
  <c r="V40" i="9" s="1"/>
  <c r="W40" i="9" s="1"/>
  <c r="X40" i="9" s="1"/>
  <c r="Y40" i="9" s="1"/>
  <c r="Z40" i="9" s="1"/>
  <c r="L40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J38" i="9"/>
  <c r="G38" i="9"/>
  <c r="L39" i="9" s="1"/>
  <c r="M39" i="9" s="1"/>
  <c r="N39" i="9" s="1"/>
  <c r="O39" i="9" s="1"/>
  <c r="P39" i="9" s="1"/>
  <c r="Q39" i="9" s="1"/>
  <c r="R39" i="9" s="1"/>
  <c r="S39" i="9" s="1"/>
  <c r="T39" i="9" s="1"/>
  <c r="U39" i="9" s="1"/>
  <c r="V39" i="9" s="1"/>
  <c r="W39" i="9" s="1"/>
  <c r="X39" i="9" s="1"/>
  <c r="Y39" i="9" s="1"/>
  <c r="Z39" i="9" s="1"/>
  <c r="K21" i="9"/>
  <c r="H21" i="9"/>
  <c r="I21" i="9" s="1"/>
  <c r="K20" i="9"/>
  <c r="H20" i="9"/>
  <c r="I20" i="9" s="1"/>
  <c r="K19" i="9"/>
  <c r="H19" i="9"/>
  <c r="I19" i="9" s="1"/>
  <c r="K18" i="9"/>
  <c r="H18" i="9"/>
  <c r="I18" i="9" s="1"/>
  <c r="K17" i="9"/>
  <c r="H17" i="9"/>
  <c r="I17" i="9" s="1"/>
  <c r="K16" i="9"/>
  <c r="H16" i="9"/>
  <c r="I16" i="9" s="1"/>
  <c r="K15" i="9"/>
  <c r="H15" i="9"/>
  <c r="I15" i="9" s="1"/>
  <c r="K14" i="9"/>
  <c r="H14" i="9"/>
  <c r="I14" i="9" s="1"/>
  <c r="K13" i="9"/>
  <c r="H13" i="9"/>
  <c r="I13" i="9" s="1"/>
  <c r="K12" i="9"/>
  <c r="H12" i="9"/>
  <c r="I12" i="9" s="1"/>
  <c r="K11" i="9"/>
  <c r="H11" i="9"/>
  <c r="I11" i="9" s="1"/>
  <c r="K10" i="9"/>
  <c r="H10" i="9"/>
  <c r="H38" i="9" s="1"/>
  <c r="K9" i="9"/>
  <c r="H9" i="9"/>
  <c r="I9" i="9" s="1"/>
  <c r="K8" i="9"/>
  <c r="K38" i="9" s="1"/>
  <c r="H8" i="9"/>
  <c r="I8" i="9" s="1"/>
  <c r="AA50" i="7"/>
  <c r="AA49" i="7"/>
  <c r="AA48" i="7"/>
  <c r="AA47" i="7"/>
  <c r="AA46" i="7"/>
  <c r="AA45" i="7"/>
  <c r="L40" i="7"/>
  <c r="M40" i="7" s="1"/>
  <c r="N40" i="7" s="1"/>
  <c r="O40" i="7" s="1"/>
  <c r="P40" i="7" s="1"/>
  <c r="Q40" i="7" s="1"/>
  <c r="R40" i="7" s="1"/>
  <c r="S40" i="7" s="1"/>
  <c r="T40" i="7" s="1"/>
  <c r="U40" i="7" s="1"/>
  <c r="V40" i="7" s="1"/>
  <c r="W40" i="7" s="1"/>
  <c r="X40" i="7" s="1"/>
  <c r="Y40" i="7" s="1"/>
  <c r="Z40" i="7" s="1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J38" i="7"/>
  <c r="H38" i="7"/>
  <c r="G38" i="7"/>
  <c r="L39" i="7" s="1"/>
  <c r="M39" i="7" s="1"/>
  <c r="N39" i="7" s="1"/>
  <c r="O39" i="7" s="1"/>
  <c r="P39" i="7" s="1"/>
  <c r="Q39" i="7" s="1"/>
  <c r="R39" i="7" s="1"/>
  <c r="S39" i="7" s="1"/>
  <c r="T39" i="7" s="1"/>
  <c r="U39" i="7" s="1"/>
  <c r="V39" i="7" s="1"/>
  <c r="W39" i="7" s="1"/>
  <c r="X39" i="7" s="1"/>
  <c r="Y39" i="7" s="1"/>
  <c r="Z39" i="7" s="1"/>
  <c r="K20" i="7"/>
  <c r="I20" i="7"/>
  <c r="H20" i="7"/>
  <c r="K19" i="7"/>
  <c r="I19" i="7"/>
  <c r="H19" i="7"/>
  <c r="K18" i="7"/>
  <c r="I18" i="7"/>
  <c r="H18" i="7"/>
  <c r="K17" i="7"/>
  <c r="I17" i="7"/>
  <c r="H17" i="7"/>
  <c r="K16" i="7"/>
  <c r="I16" i="7"/>
  <c r="H16" i="7"/>
  <c r="K15" i="7"/>
  <c r="I15" i="7"/>
  <c r="H15" i="7"/>
  <c r="K14" i="7"/>
  <c r="I14" i="7"/>
  <c r="H14" i="7"/>
  <c r="K13" i="7"/>
  <c r="I13" i="7"/>
  <c r="H13" i="7"/>
  <c r="K12" i="7"/>
  <c r="I12" i="7"/>
  <c r="H12" i="7"/>
  <c r="K11" i="7"/>
  <c r="I11" i="7"/>
  <c r="H11" i="7"/>
  <c r="K10" i="7"/>
  <c r="I10" i="7"/>
  <c r="H10" i="7"/>
  <c r="K9" i="7"/>
  <c r="I9" i="7"/>
  <c r="H9" i="7"/>
  <c r="K8" i="7"/>
  <c r="K38" i="7" s="1"/>
  <c r="I8" i="7"/>
  <c r="I38" i="7" s="1"/>
  <c r="H8" i="7"/>
  <c r="AA50" i="5"/>
  <c r="AA49" i="5"/>
  <c r="AA48" i="5"/>
  <c r="AA47" i="5"/>
  <c r="AA46" i="5"/>
  <c r="AA45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J38" i="5"/>
  <c r="G38" i="5"/>
  <c r="L39" i="5" s="1"/>
  <c r="M39" i="5" s="1"/>
  <c r="N39" i="5" s="1"/>
  <c r="O39" i="5" s="1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K20" i="5"/>
  <c r="H20" i="5"/>
  <c r="I20" i="5" s="1"/>
  <c r="K19" i="5"/>
  <c r="I19" i="5"/>
  <c r="H19" i="5"/>
  <c r="K18" i="5"/>
  <c r="I18" i="5"/>
  <c r="H18" i="5"/>
  <c r="K17" i="5"/>
  <c r="H17" i="5"/>
  <c r="I17" i="5" s="1"/>
  <c r="K16" i="5"/>
  <c r="H16" i="5"/>
  <c r="I16" i="5" s="1"/>
  <c r="K15" i="5"/>
  <c r="I15" i="5"/>
  <c r="H15" i="5"/>
  <c r="K14" i="5"/>
  <c r="I14" i="5"/>
  <c r="H14" i="5"/>
  <c r="K13" i="5"/>
  <c r="H13" i="5"/>
  <c r="I13" i="5" s="1"/>
  <c r="K12" i="5"/>
  <c r="H12" i="5"/>
  <c r="I12" i="5" s="1"/>
  <c r="K11" i="5"/>
  <c r="K38" i="5" s="1"/>
  <c r="I11" i="5"/>
  <c r="H11" i="5"/>
  <c r="K10" i="5"/>
  <c r="I10" i="5"/>
  <c r="H10" i="5"/>
  <c r="K9" i="5"/>
  <c r="H9" i="5"/>
  <c r="I9" i="5" s="1"/>
  <c r="K8" i="5"/>
  <c r="H8" i="5"/>
  <c r="I8" i="5" s="1"/>
  <c r="AA49" i="3"/>
  <c r="AA48" i="3"/>
  <c r="AA47" i="3"/>
  <c r="AA46" i="3"/>
  <c r="AA50" i="3" s="1"/>
  <c r="AA45" i="3"/>
  <c r="L39" i="3"/>
  <c r="M39" i="3" s="1"/>
  <c r="N39" i="3" s="1"/>
  <c r="O39" i="3" s="1"/>
  <c r="P39" i="3" s="1"/>
  <c r="Q39" i="3" s="1"/>
  <c r="R39" i="3" s="1"/>
  <c r="S39" i="3" s="1"/>
  <c r="T39" i="3" s="1"/>
  <c r="U39" i="3" s="1"/>
  <c r="V39" i="3" s="1"/>
  <c r="W39" i="3" s="1"/>
  <c r="X39" i="3" s="1"/>
  <c r="Y39" i="3" s="1"/>
  <c r="Z39" i="3" s="1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J38" i="3"/>
  <c r="G38" i="3"/>
  <c r="K19" i="3"/>
  <c r="H19" i="3"/>
  <c r="I19" i="3" s="1"/>
  <c r="K18" i="3"/>
  <c r="H18" i="3"/>
  <c r="I18" i="3" s="1"/>
  <c r="K17" i="3"/>
  <c r="H17" i="3"/>
  <c r="I17" i="3" s="1"/>
  <c r="K16" i="3"/>
  <c r="I16" i="3"/>
  <c r="H16" i="3"/>
  <c r="K15" i="3"/>
  <c r="H15" i="3"/>
  <c r="I15" i="3" s="1"/>
  <c r="K14" i="3"/>
  <c r="H14" i="3"/>
  <c r="I14" i="3" s="1"/>
  <c r="K13" i="3"/>
  <c r="H13" i="3"/>
  <c r="I13" i="3" s="1"/>
  <c r="K12" i="3"/>
  <c r="I12" i="3"/>
  <c r="H12" i="3"/>
  <c r="K11" i="3"/>
  <c r="H11" i="3"/>
  <c r="I11" i="3" s="1"/>
  <c r="K10" i="3"/>
  <c r="K38" i="3" s="1"/>
  <c r="H10" i="3"/>
  <c r="I10" i="3" s="1"/>
  <c r="K9" i="3"/>
  <c r="H9" i="3"/>
  <c r="I9" i="3" s="1"/>
  <c r="K8" i="3"/>
  <c r="I8" i="3"/>
  <c r="H8" i="3"/>
  <c r="I22" i="1"/>
  <c r="J22" i="1" s="1"/>
  <c r="I23" i="1" s="1"/>
  <c r="J23" i="1" s="1"/>
  <c r="I24" i="1" s="1"/>
  <c r="J24" i="1" s="1"/>
  <c r="I38" i="3" l="1"/>
  <c r="I38" i="5"/>
  <c r="H38" i="5"/>
  <c r="I10" i="9"/>
  <c r="I38" i="9" s="1"/>
  <c r="H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jan samuelsson</author>
  </authors>
  <commentList>
    <comment ref="M7" authorId="0" shapeId="0" xr:uid="{00000000-0006-0000-0100-000001000000}">
      <text>
        <r>
          <rPr>
            <sz val="10"/>
            <color theme="1"/>
            <rFont val="Calibri"/>
            <scheme val="minor"/>
          </rPr>
          <t>Fill in when a product backlog item has been assigned to a specific sprint. After a Sprint planning meeting is done.</t>
        </r>
      </text>
    </comment>
    <comment ref="N7" authorId="1" shapeId="0" xr:uid="{00000000-0006-0000-0100-000002000000}">
      <text>
        <r>
          <rPr>
            <sz val="10"/>
            <color theme="1"/>
            <rFont val="Calibri"/>
            <scheme val="minor"/>
          </rPr>
          <t xml:space="preserve">Just rough numbers, 5,10,15,20 etc.
Not 7, 13, 21 etc.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7" authorId="0" shapeId="0" xr:uid="{00000000-0006-0000-0200-000001000000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200-000002000000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7" authorId="0" shapeId="0" xr:uid="{00000000-0006-0000-0400-000001000000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400-000002000000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7" authorId="0" shapeId="0" xr:uid="{00000000-0006-0000-0600-000001000000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600-000002000000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7" authorId="0" shapeId="0" xr:uid="{00000000-0006-0000-0800-000001000000}">
      <text>
        <r>
          <rPr>
            <sz val="10"/>
            <color theme="1"/>
            <rFont val="Calibri"/>
            <scheme val="minor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800-000002000000}">
      <text>
        <r>
          <rPr>
            <sz val="10"/>
            <color theme="1"/>
            <rFont val="Calibri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sharedStrings.xml><?xml version="1.0" encoding="utf-8"?>
<sst xmlns="http://schemas.openxmlformats.org/spreadsheetml/2006/main" count="870" uniqueCount="412">
  <si>
    <t>SmartRegression AI</t>
  </si>
  <si>
    <t>MVP v1.0 planned</t>
  </si>
  <si>
    <t>Scrum Project</t>
  </si>
  <si>
    <t>Nguyen Tan Huy</t>
  </si>
  <si>
    <t>Jan Samuelsson - Project Mentor</t>
  </si>
  <si>
    <t>Product</t>
  </si>
  <si>
    <t>Active versions</t>
  </si>
  <si>
    <t>Do Ha An</t>
  </si>
  <si>
    <t>Pham Phan Hoang Huy</t>
  </si>
  <si>
    <t>Team</t>
  </si>
  <si>
    <t>Tran Hung Khanh</t>
  </si>
  <si>
    <t>Product Owner</t>
  </si>
  <si>
    <t>Scrum Master</t>
  </si>
  <si>
    <t>Dang Dai Viet</t>
  </si>
  <si>
    <t>Other Stakeholders</t>
  </si>
  <si>
    <t>Developers</t>
  </si>
  <si>
    <t>Developers and QA Engineers</t>
  </si>
  <si>
    <t>Sprint</t>
  </si>
  <si>
    <t>Start</t>
  </si>
  <si>
    <t>End</t>
  </si>
  <si>
    <t>Status</t>
  </si>
  <si>
    <t>Work planned (Committed)</t>
  </si>
  <si>
    <t>Work spent (Delivered)</t>
  </si>
  <si>
    <t>Remarks</t>
  </si>
  <si>
    <t>SR-AI-01</t>
  </si>
  <si>
    <t>SmartRegression AI MVP</t>
  </si>
  <si>
    <t>In planning</t>
  </si>
  <si>
    <t>Week 1</t>
  </si>
  <si>
    <t>Week 3</t>
  </si>
  <si>
    <t>Planned</t>
  </si>
  <si>
    <t>Research foundation + technical spike</t>
  </si>
  <si>
    <t>Week 4</t>
  </si>
  <si>
    <t>Week 6</t>
  </si>
  <si>
    <t>Change impact + dependency analysis + RAG retrieval core</t>
  </si>
  <si>
    <t>Week 7</t>
  </si>
  <si>
    <t>Week 9</t>
  </si>
  <si>
    <t>LLM-assisted test selection + fallback + pilot execution</t>
  </si>
  <si>
    <t>Week 10</t>
  </si>
  <si>
    <t>Week 12</t>
  </si>
  <si>
    <t>CI/CD + baselines + evaluation + finalization</t>
  </si>
  <si>
    <t>Projects</t>
  </si>
  <si>
    <t>Sprint Plan</t>
  </si>
  <si>
    <t>Project #1</t>
  </si>
  <si>
    <t>Id</t>
  </si>
  <si>
    <t>Description</t>
  </si>
  <si>
    <t>1</t>
  </si>
  <si>
    <t>Research foundation and technical spike</t>
  </si>
  <si>
    <t>2</t>
  </si>
  <si>
    <t>Change impact and retrieval core</t>
  </si>
  <si>
    <t>3</t>
  </si>
  <si>
    <t>LLM-assisted selection and dataset preparation</t>
  </si>
  <si>
    <t>4</t>
  </si>
  <si>
    <t>Full evaluation and project finalization</t>
  </si>
  <si>
    <t>Product Backlog aligned to Proposal v1.4. Planning estimates are Scrum estimates; research outcomes are not pre-claimed.</t>
  </si>
  <si>
    <t>Heading</t>
  </si>
  <si>
    <t>As a..</t>
  </si>
  <si>
    <t>I want to ..</t>
  </si>
  <si>
    <t>so that ..</t>
  </si>
  <si>
    <t>Acceptance Criteria</t>
  </si>
  <si>
    <t>Priority</t>
  </si>
  <si>
    <t>Type</t>
  </si>
  <si>
    <t>Project Id</t>
  </si>
  <si>
    <t>Sprint No</t>
  </si>
  <si>
    <t>Estimate
(Hours)</t>
  </si>
  <si>
    <t>Effort (Actual)</t>
  </si>
  <si>
    <t>Owner</t>
  </si>
  <si>
    <t>PB01</t>
  </si>
  <si>
    <t>Connect authorized GitHub repository</t>
  </si>
  <si>
    <t>Maintainer</t>
  </si>
  <si>
    <t>connect an authorized GitHub repository</t>
  </si>
  <si>
    <t>the system can access the selected project safely</t>
  </si>
  <si>
    <t>Accept valid authorized repository; show identity/status; reject unauthorized access</t>
  </si>
  <si>
    <t>FR-01</t>
  </si>
  <si>
    <t>Proposed</t>
  </si>
  <si>
    <t>Feature</t>
  </si>
  <si>
    <t>Initial estimate</t>
  </si>
  <si>
    <t>PB02</t>
  </si>
  <si>
    <t>Configure testing environment</t>
  </si>
  <si>
    <t>configure one supported test framework, locations, command, timeout and resource limits</t>
  </si>
  <si>
    <t>analysis can be executed under controlled rules</t>
  </si>
  <si>
    <t>Validate required settings; reject invalid command or non-positive limits; persist configuration</t>
  </si>
  <si>
    <t>FR-02</t>
  </si>
  <si>
    <t>PB03</t>
  </si>
  <si>
    <t>Select and freeze change range</t>
  </si>
  <si>
    <t>Developer</t>
  </si>
  <si>
    <t>select two commits or a pull request</t>
  </si>
  <si>
    <t>the exact base and target SHAs are fixed for the run</t>
  </si>
  <si>
    <t>Resolve base/target SHAs; show changed files; freeze SHAs; new PR head creates a separate run</t>
  </si>
  <si>
    <t>FR-03</t>
  </si>
  <si>
    <t>PB04</t>
  </si>
  <si>
    <t>Start and monitor analysis</t>
  </si>
  <si>
    <t>start an analysis run</t>
  </si>
  <si>
    <t>I can track the run from queue to terminal status</t>
  </si>
  <si>
    <t>Create run ID; show stage/timestamps/status; retain actionable failure reason; prevent duplicate integration jobs</t>
  </si>
  <si>
    <t>FR-04</t>
  </si>
  <si>
    <t>PB05</t>
  </si>
  <si>
    <t>Review code changes</t>
  </si>
  <si>
    <t>review changed files/functions/classes/modules and diffs</t>
  </si>
  <si>
    <t>I can understand what changed</t>
  </si>
  <si>
    <t>Display diffs and source locations resolving at the analyzed version</t>
  </si>
  <si>
    <t>FR-05</t>
  </si>
  <si>
    <t>PB06</t>
  </si>
  <si>
    <t>Compute potential impact</t>
  </si>
  <si>
    <t>see directly and indirectly affected components</t>
  </si>
  <si>
    <t>I can identify possible impact areas</t>
  </si>
  <si>
    <t>Compute supported dependency paths; distinguish changed vs potentially affected components; disclose unsupported cases</t>
  </si>
  <si>
    <t>FR-06</t>
  </si>
  <si>
    <t>PB07</t>
  </si>
  <si>
    <t>Inspect impact evidence</t>
  </si>
  <si>
    <t>inspect evidence behind impact explanations</t>
  </si>
  <si>
    <t>I can verify the analysis</t>
  </si>
  <si>
    <t>Link source locations, commit references and dependency evidence; mark invalid references unverified</t>
  </si>
  <si>
    <t>FR-07</t>
  </si>
  <si>
    <t>Refine in Sprint 2</t>
  </si>
  <si>
    <t>PB08</t>
  </si>
  <si>
    <t>Find review starting points</t>
  </si>
  <si>
    <t>receive ordered review starting points</t>
  </si>
  <si>
    <t>I know where to begin manual review</t>
  </si>
  <si>
    <t>Order changed executable, direct dependents, indirect dependents; stable tie-breaking; no calibrated fault-probability claim</t>
  </si>
  <si>
    <t>FR-08</t>
  </si>
  <si>
    <t>PB09</t>
  </si>
  <si>
    <t>Discover existing target tests</t>
  </si>
  <si>
    <t>QA Engineer</t>
  </si>
  <si>
    <t>view the existing target-version tests</t>
  </si>
  <si>
    <t>only real existing tests enter the selection inventory</t>
  </si>
  <si>
    <t>Stable test identifiers and source locations; distinguish empty inventory from discovery failure; record adapter/version</t>
  </si>
  <si>
    <t>FR-09</t>
  </si>
  <si>
    <t>PB10</t>
  </si>
  <si>
    <t>Generate and validate selection manifest</t>
  </si>
  <si>
    <t>receive a validated test-selection manifest</t>
  </si>
  <si>
    <t>only valid existing tests can be dispatched</t>
  </si>
  <si>
    <t>Target SHA; selected/not-selected groups; counts; reasons; fallback mode; groups partition inventory; no invented IDs</t>
  </si>
  <si>
    <t>FR-10</t>
  </si>
  <si>
    <t>Refine in Sprint 3</t>
  </si>
  <si>
    <t>PB11</t>
  </si>
  <si>
    <t>Explain test-selection reasons</t>
  </si>
  <si>
    <t>inspect reasons for selected and not-selected tests</t>
  </si>
  <si>
    <t>I can verify each decision</t>
  </si>
  <si>
    <t>Provide source evidence/dependency path/rule per decision or group; never claim not-selected proves no regression detection</t>
  </si>
  <si>
    <t>FR-11</t>
  </si>
  <si>
    <t>PB12</t>
  </si>
  <si>
    <t>Apply fallback policy</t>
  </si>
  <si>
    <t>receive a conservative fallback when analysis is incomplete</t>
  </si>
  <si>
    <t>test-reduction risk is controlled</t>
  </si>
  <si>
    <t>Record trigger and final mode; support dependency+modified set, full-suite fallback, or explicit stop according to proposal rules</t>
  </si>
  <si>
    <t>FR-12</t>
  </si>
  <si>
    <t>Safety</t>
  </si>
  <si>
    <t>PB13</t>
  </si>
  <si>
    <t>Execute selected or full tests</t>
  </si>
  <si>
    <t>run the recommended set or full suite at the frozen target SHA</t>
  </si>
  <si>
    <t>I can obtain controlled regression results</t>
  </si>
  <si>
    <t>Runner receives frozen SHA and validated manifest; show actual execution mode and status</t>
  </si>
  <si>
    <t>FR-13</t>
  </si>
  <si>
    <t>Rule to be confirmed</t>
  </si>
  <si>
    <t>PB14</t>
  </si>
  <si>
    <t>Inspect test results</t>
  </si>
  <si>
    <t>inspect per-test outcomes and logs</t>
  </si>
  <si>
    <t>I can distinguish failure types and skipped tests</t>
  </si>
  <si>
    <t>Show pass/fail/runner-skipped, time and logs; distinguish not-selected from runner-skipped; classify build/assertion/timeout/infrastructure errors</t>
  </si>
  <si>
    <t>FR-14</t>
  </si>
  <si>
    <t>Refine in Sprint 4</t>
  </si>
  <si>
    <t>PB15</t>
  </si>
  <si>
    <t>Browse analysis history</t>
  </si>
  <si>
    <t>find previous runs by repository, commit or status</t>
  </si>
  <si>
    <t>I can reopen an analysis consistently</t>
  </si>
  <si>
    <t>Reopen original versions, configuration, impact report, selection and execution results</t>
  </si>
  <si>
    <t>FR-15</t>
  </si>
  <si>
    <t>PB16</t>
  </si>
  <si>
    <t>View and export reports</t>
  </si>
  <si>
    <t>view a run dashboard and export results</t>
  </si>
  <si>
    <t>I can review and share evidence-backed results</t>
  </si>
  <si>
    <t>HTML + JSON; include changes, impacts, evidence, selected/not-selected tests, outcomes, timings, fallback, LLM usage/cost; missing values = N/A</t>
  </si>
  <si>
    <t>FR-16</t>
  </si>
  <si>
    <t>Platform to be confirmed</t>
  </si>
  <si>
    <t>PB17</t>
  </si>
  <si>
    <t>Integrate one CI/CD platform</t>
  </si>
  <si>
    <t>DevOps Engineer</t>
  </si>
  <si>
    <t>trigger analysis from commit/PR events</t>
  </si>
  <si>
    <t>the workflow can run experimentally in CI/CD</t>
  </si>
  <si>
    <t>One platform; return status/outcome/report links; duplicate events idempotent; failures never become passing; full-suite fallback explicitly marked</t>
  </si>
  <si>
    <t>FR-17</t>
  </si>
  <si>
    <t>Integration</t>
  </si>
  <si>
    <t>PB18</t>
  </si>
  <si>
    <t>Run predefined evaluation methods</t>
  </si>
  <si>
    <t>Researcher / Evaluator</t>
  </si>
  <si>
    <t>run predefined datasets and supported methods</t>
  </si>
  <si>
    <t>I can compare the proposed method with baselines</t>
  </si>
  <si>
    <t>Compare full suite, dependency-based selection, LLM-based selection and SmartRegression AI; N/A for missing labels/zero denominators</t>
  </si>
  <si>
    <t>FR-18</t>
  </si>
  <si>
    <t>Research</t>
  </si>
  <si>
    <t>PB19</t>
  </si>
  <si>
    <t>Build RAG project index</t>
  </si>
  <si>
    <t>Researcher</t>
  </si>
  <si>
    <t>index source code, tests and documentation</t>
  </si>
  <si>
    <t>project-specific context can be retrieved for LLM analysis</t>
  </si>
  <si>
    <t>Index by repository and commit; preserve path/revision metadata; exclude secrets and evaluation labels</t>
  </si>
  <si>
    <t>Design: RAG</t>
  </si>
  <si>
    <t>PB20</t>
  </si>
  <si>
    <t>Retrieve change-relevant context</t>
  </si>
  <si>
    <t>System</t>
  </si>
  <si>
    <t>retrieve source/tests/docs related to changed and candidate components</t>
  </si>
  <si>
    <t>the LLM receives focused project context</t>
  </si>
  <si>
    <t>Queries derived from diff/candidates; ranked results with metadata; record insufficient retrieval</t>
  </si>
  <si>
    <t>PB21</t>
  </si>
  <si>
    <t>Validate LLM output</t>
  </si>
  <si>
    <t>validate LLM proposals before selection/execution</t>
  </si>
  <si>
    <t>LLM output cannot bypass system safety rules</t>
  </si>
  <si>
    <t>Validate schema, inventory membership and commit-linked evidence; never interpret LLM output as executable shell commands</t>
  </si>
  <si>
    <t>Design: LLM</t>
  </si>
  <si>
    <t>PB22</t>
  </si>
  <si>
    <t>Implement selection policy</t>
  </si>
  <si>
    <t>combine dependency-selected, modified and valid LLM-added tests</t>
  </si>
  <si>
    <t>selection is conservative and reproducible</t>
  </si>
  <si>
    <t>S=(D∪M∪L)∩T; LLM may add but not remove D/M; persist T\S, evidence and policy version</t>
  </si>
  <si>
    <t>Design: Selection Policy</t>
  </si>
  <si>
    <t>PB23</t>
  </si>
  <si>
    <t>Prepare reproducible evaluation dataset</t>
  </si>
  <si>
    <t>prepare repository versions, commit pairs, labels and known defects</t>
  </si>
  <si>
    <t>evaluation can be repeated and audited</t>
  </si>
  <si>
    <t>Target ≥2 repositories, ≥30 commit pairs, ≥15 verified fault-bearing cases; separate real and mutation faults; document limitations</t>
  </si>
  <si>
    <t>Objective 3</t>
  </si>
  <si>
    <t>PB24</t>
  </si>
  <si>
    <t>Evaluate metrics and baselines</t>
  </si>
  <si>
    <t>calculate defined research metrics</t>
  </si>
  <si>
    <t>I can judge effectiveness and trade-offs</t>
  </si>
  <si>
    <t>Impact Precision/Recall; Evidence Accuracy; Test Reduction Rate; Fault Detection Retention; Missed Fault Rate; E2E Time Reduction; LLM Cost/Token Usage; Fallback Rate</t>
  </si>
  <si>
    <t>Completed is ALWAYS the estimated (planned) number of hours. You NEVER put in the number of hours you worked.</t>
  </si>
  <si>
    <t>Compare your estimate with the actual number of hours you spent on the task, your effort
- = Spent less time than estimated</t>
  </si>
  <si>
    <t>Only update one time. When task is done. You update with the estimate hours, NOT the hours you actually worked to finish the task.</t>
  </si>
  <si>
    <t>Add Owner when task is set to Ongoing</t>
  </si>
  <si>
    <t>Make new estimate when move from PB to SB</t>
  </si>
  <si>
    <t>Remaining work to be done.</t>
  </si>
  <si>
    <t>Total number of hours you spent on the task.
Your effort</t>
  </si>
  <si>
    <t>Sprint Backlog</t>
  </si>
  <si>
    <t>Update status during sprint</t>
  </si>
  <si>
    <t>Sprint Id</t>
  </si>
  <si>
    <t>Backlog Id</t>
  </si>
  <si>
    <t>Estimate (Hours)</t>
  </si>
  <si>
    <t>Completed</t>
  </si>
  <si>
    <t>Pending</t>
  </si>
  <si>
    <t>Total effort</t>
  </si>
  <si>
    <t>Effort vs. 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</si>
  <si>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</si>
  <si>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</si>
  <si>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</si>
  <si>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</si>
  <si>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</si>
  <si>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</si>
  <si>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</si>
  <si>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</si>
  <si>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</si>
  <si>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</si>
  <si>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</si>
  <si>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</si>
  <si>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</si>
  <si>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</si>
  <si>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</si>
  <si>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1.01</t>
  </si>
  <si>
    <t>Define research questions, baselines and metric formulas</t>
  </si>
  <si>
    <t>Not started</t>
  </si>
  <si>
    <t>1.02</t>
  </si>
  <si>
    <t>Define repository screening and evaluation criteria</t>
  </si>
  <si>
    <t>1.03</t>
  </si>
  <si>
    <t>Select primary and backup repositories for the technical spike</t>
  </si>
  <si>
    <t>1.04</t>
  </si>
  <si>
    <t>Prototype authorized GitHub repository connection and access validation</t>
  </si>
  <si>
    <t>1.05</t>
  </si>
  <si>
    <t>Define supported test framework configuration and execution constraints</t>
  </si>
  <si>
    <t>1.06</t>
  </si>
  <si>
    <t>Define base/target revision and PR SHA-freezing rules</t>
  </si>
  <si>
    <t>1.07</t>
  </si>
  <si>
    <t>Prototype Git diff extraction and changed-file metadata</t>
  </si>
  <si>
    <t>1.08</t>
  </si>
  <si>
    <t>Prototype analysis run ID/status lifecycle and failure states</t>
  </si>
  <si>
    <t>1.09</t>
  </si>
  <si>
    <t>Define RAG indexing scope, metadata and secret-exclusion rules</t>
  </si>
  <si>
    <t>1.10</t>
  </si>
  <si>
    <t>Define selection/fallback policy and safety boundaries</t>
  </si>
  <si>
    <t>1.11</t>
  </si>
  <si>
    <t>Define evaluation protocol and reporting template</t>
  </si>
  <si>
    <t>1.12</t>
  </si>
  <si>
    <t>Document technical-spike findings and Sprint 1 review/demo</t>
  </si>
  <si>
    <t>Total</t>
  </si>
  <si>
    <t>Burn down</t>
  </si>
  <si>
    <t>Burn up</t>
  </si>
  <si>
    <t>Worked hours/Day</t>
  </si>
  <si>
    <t>Total hours</t>
  </si>
  <si>
    <t>Update actual worked hours per team member each day. Keep effort logs separate from planned task estimates.</t>
  </si>
  <si>
    <t>Sprint 1 Reports &amp; Dashboards</t>
  </si>
  <si>
    <t>Sprint goal: Research foundation + technical spike</t>
  </si>
  <si>
    <t>Record burn-down/burn-up, sprint review evidence, achieved acceptance checks and key decisions.</t>
  </si>
  <si>
    <t>Burn up Chart</t>
  </si>
  <si>
    <t>2.01</t>
  </si>
  <si>
    <t>Implement changed file/function/class/module identification</t>
  </si>
  <si>
    <t>2.02</t>
  </si>
  <si>
    <t>Validate changed-component locations on labeled changes</t>
  </si>
  <si>
    <t>2.03</t>
  </si>
  <si>
    <t>Build supported static dependency graph</t>
  </si>
  <si>
    <t>2.04</t>
  </si>
  <si>
    <t>Traverse direct and indirect reverse-reachable impact</t>
  </si>
  <si>
    <t>2.05</t>
  </si>
  <si>
    <t>Persist dependency paths and source evidence</t>
  </si>
  <si>
    <t>2.06</t>
  </si>
  <si>
    <t>Implement impact explanation and evidence inspection</t>
  </si>
  <si>
    <t>2.07</t>
  </si>
  <si>
    <t>Implement deterministic review starting-point ordering</t>
  </si>
  <si>
    <t>2.08</t>
  </si>
  <si>
    <t>Implement target-version existing-test discovery</t>
  </si>
  <si>
    <t>2.09</t>
  </si>
  <si>
    <t>Validate empty-inventory vs discovery-failure states</t>
  </si>
  <si>
    <t>2.10</t>
  </si>
  <si>
    <t>Index repository source code, tests and documentation</t>
  </si>
  <si>
    <t>2.11</t>
  </si>
  <si>
    <t>Retrieve context from diff and candidate components</t>
  </si>
  <si>
    <t>2.12</t>
  </si>
  <si>
    <t>Rank, deduplicate and verify retrieval metadata</t>
  </si>
  <si>
    <t>2.13</t>
  </si>
  <si>
    <t>Integrate change-impact + retrieval workflow and Sprint 2 demo</t>
  </si>
  <si>
    <t>Sprint 2 Reports &amp; Dashboards</t>
  </si>
  <si>
    <t>Sprint goal: Change impact + dependency analysis + RAG retrieval core</t>
  </si>
  <si>
    <t>3.01</t>
  </si>
  <si>
    <t>Generate validated selection manifest</t>
  </si>
  <si>
    <t>3.02</t>
  </si>
  <si>
    <t>Validate inventory membership, partition and target SHA</t>
  </si>
  <si>
    <t>3.03</t>
  </si>
  <si>
    <t>Implement evidence/reason inspection for selection decisions</t>
  </si>
  <si>
    <t>3.04</t>
  </si>
  <si>
    <t>Integrate LLM proposal generation with structured schema</t>
  </si>
  <si>
    <t>3.05</t>
  </si>
  <si>
    <t>Validate LLM outputs against inventory and commit-linked evidence</t>
  </si>
  <si>
    <t>3.06</t>
  </si>
  <si>
    <t>Implement conservative dependency + modified + LLM selection policy</t>
  </si>
  <si>
    <t>3.07</t>
  </si>
  <si>
    <t>Implement LLM timeout/malformed-output fallback</t>
  </si>
  <si>
    <t>3.08</t>
  </si>
  <si>
    <t>Implement unsupported-code/configuration/full-suite fallback rules</t>
  </si>
  <si>
    <t>3.09</t>
  </si>
  <si>
    <t>Execute selected tests at frozen target SHA</t>
  </si>
  <si>
    <t>3.10</t>
  </si>
  <si>
    <t>Capture per-test outcomes and failure categories</t>
  </si>
  <si>
    <t>3.11</t>
  </si>
  <si>
    <t>Build initial impact/selection/execution dashboard</t>
  </si>
  <si>
    <t>3.12</t>
  </si>
  <si>
    <t>Prepare pilot dataset and fault-bearing cases</t>
  </si>
  <si>
    <t>3.13</t>
  </si>
  <si>
    <t>Run integrated pilot and record Sprint 3 findings</t>
  </si>
  <si>
    <t>Sprint 3 Reports &amp; Dashboards</t>
  </si>
  <si>
    <t>Sprint goal: LLM-assisted test selection + fallback + pilot execution</t>
  </si>
  <si>
    <t>4.01</t>
  </si>
  <si>
    <t>Implement analysis history search and run reopening</t>
  </si>
  <si>
    <t>4.02</t>
  </si>
  <si>
    <t>Implement HTML and JSON report export</t>
  </si>
  <si>
    <t>4.03</t>
  </si>
  <si>
    <t>Integrate one selected CI/CD platform</t>
  </si>
  <si>
    <t>4.04</t>
  </si>
  <si>
    <t>Verify idempotent duplicate-event handling and failure statuses</t>
  </si>
  <si>
    <t>4.05</t>
  </si>
  <si>
    <t>Implement predefined evaluation method runner</t>
  </si>
  <si>
    <t>4.06</t>
  </si>
  <si>
    <t>Run full-suite baseline</t>
  </si>
  <si>
    <t>4.07</t>
  </si>
  <si>
    <t>Run dependency-based baseline</t>
  </si>
  <si>
    <t>4.08</t>
  </si>
  <si>
    <t>Run LLM-based baseline</t>
  </si>
  <si>
    <t>4.09</t>
  </si>
  <si>
    <t>Run SmartRegression AI comparison</t>
  </si>
  <si>
    <t>4.10</t>
  </si>
  <si>
    <t>Calculate impact, evidence, reduction, fault-retention, time, cost and fallback metrics</t>
  </si>
  <si>
    <t>4.11</t>
  </si>
  <si>
    <t>Validate held-out evaluation conditions and document threats to validity</t>
  </si>
  <si>
    <t>4.12</t>
  </si>
  <si>
    <t>Finalize dashboard, reports and reproducibility evidence</t>
  </si>
  <si>
    <t>4.13</t>
  </si>
  <si>
    <t>Prepare final evaluation/demo package</t>
  </si>
  <si>
    <t>4.14</t>
  </si>
  <si>
    <t>Final documentation and project retrospective</t>
  </si>
  <si>
    <t>Sprint 4 Reports &amp; Dashboards</t>
  </si>
  <si>
    <t>Sprint goal: CI/CD + baselines + evaluation + finalization</t>
  </si>
  <si>
    <t>Impediments</t>
  </si>
  <si>
    <t>In charge of removing the impediment</t>
  </si>
  <si>
    <t>Not started
Ongoing
Done</t>
  </si>
  <si>
    <t>Date</t>
  </si>
  <si>
    <t>Raised By</t>
  </si>
  <si>
    <t>Raised On</t>
  </si>
  <si>
    <t>Sprint #</t>
  </si>
  <si>
    <t>Impacted Backlog #</t>
  </si>
  <si>
    <t>Resolution</t>
  </si>
  <si>
    <t>Resolved On</t>
  </si>
  <si>
    <t>In the retrospecitve meeting after each sprint you will identify/find  many things to improve. That does not mean that you will do all the changes in the next sprint. Usually you do changes step by step. E.g. 1-3 changes in one sprint. Not more than that. So sometimes you find an improvement in one sprint and then in a much later sprint you will actually do the change.</t>
  </si>
  <si>
    <t>Retrospective Log</t>
  </si>
  <si>
    <t>Found in Sprint #</t>
  </si>
  <si>
    <t>Impl. In Sprint #</t>
  </si>
  <si>
    <t>Responsible for doing the improvement</t>
  </si>
  <si>
    <t>Start Doing (Improvement)</t>
  </si>
  <si>
    <t>Continue Doing (What Went Well)</t>
  </si>
  <si>
    <t>Stop Doing (Even better if)</t>
  </si>
  <si>
    <t>References</t>
  </si>
  <si>
    <t>External</t>
  </si>
  <si>
    <t>Internal</t>
  </si>
  <si>
    <t>Proposal requirements basis</t>
  </si>
  <si>
    <t>C1SE26 SmartRegression AI Proposal Merged v1.4</t>
  </si>
  <si>
    <t>Functional requirements</t>
  </si>
  <si>
    <t>FR-01–FR-18; NFR-01–NFR-12; BR-01–BR-10</t>
  </si>
  <si>
    <t>Research references</t>
  </si>
  <si>
    <t>Rothermel &amp; Harrold (1997); Lewis et al. (2020)</t>
  </si>
  <si>
    <t>Methodology</t>
  </si>
  <si>
    <t>Design Science Research + Scrum; 4 sprints / 12 implementation weeks</t>
  </si>
  <si>
    <t>Scope note</t>
  </si>
  <si>
    <t>One programming language, one testing framework, GitHub, one CI/CD platform; no test generation or automatic code repair.</t>
  </si>
  <si>
    <t>Evaluation targets</t>
  </si>
  <si>
    <t>≥2 repositories; ≥30 commit pairs; ≥15 verified fault-bearing cases</t>
  </si>
  <si>
    <t>Jan Samuelsson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</si>
</sst>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ns1="http://schemas.openxmlformats.org/markup-compatibility/2006" xmlns:ns2="http://schemas.microsoft.com/office/spreadsheetml/2009/9/ac" xmlns:ns3="http://schemas.microsoft.com/office/spreadsheetml/2014/revision" xmlns:ns4="http://schemas.microsoft.com/office/spreadsheetml/2009/9/main" xmlns:ns5="http://schemas.microsoft.com/office/spreadsheetml/2010/11/main" mc:Ignorable="x14ac x16r2 xr">
  <numFmts count="4">
    <numFmt numFmtId="164" formatCode="[$-14009]dd/mmm/yy;@"/>
    <numFmt numFmtId="165" formatCode="dd\-mmm\-yy"/>
    <numFmt numFmtId="166" formatCode="@"/>
    <numFmt numFmtId="167" formatCode="0.00"/>
  </numFmts>
  <fonts count="28" ns2:knownFonts="1">
    <font>
      <sz val="10"/>
      <color theme="1"/>
      <name val="Calibri"/>
      <scheme val="minor"/>
    </font>
    <font>
      <sz val="10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14"/>
      <color theme="1"/>
      <name val="Calibri"/>
    </font>
    <font>
      <b/>
      <sz val="10"/>
      <color theme="1"/>
      <name val="Calibri"/>
    </font>
    <font>
      <b/>
      <sz val="12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u/>
      <sz val="10"/>
      <color theme="10"/>
      <name val="Calibri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FFFF"/>
      <name val="Calibri"/>
    </font>
    <font>
      <u val="single"/>
      <sz val="10"/>
      <color theme="10"/>
      <name val="Calibri"/>
    </font>
    <font>
      <b/>
      <sz val="11"/>
      <color rgb="FFFFFFFF"/>
      <name val="Arial"/>
    </font>
    <font>
      <b/>
      <sz val="11"/>
      <color rgb="FFFFFFFF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rgb="FFD6DCE4"/>
      </patternFill>
    </fill>
    <fill>
      <patternFill patternType="solid">
        <fgColor rgb="FFF2F2F2"/>
      </patternFill>
    </fill>
    <fill>
      <patternFill patternType="solid">
        <fgColor theme="0"/>
      </patternFill>
    </fill>
    <fill>
      <patternFill patternType="solid">
        <fgColor rgb="FFBFBFBF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1F4E78"/>
      </patternFill>
    </fill>
    <fill>
      <patternFill patternType="solid">
        <fgColor theme="4" tint="0.79995"/>
      </patternFill>
    </fill>
    <fill>
      <patternFill patternType="solid">
        <fgColor theme="9" tint="0.59996"/>
      </patternFill>
    </fill>
    <fill>
      <patternFill patternType="solid">
        <fgColor theme="7" tint="0.59996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5"/>
      </left>
      <right style="thin">
        <color theme="0" tint="-0.24995"/>
      </right>
      <top style="thin">
        <color theme="0" tint="-0.24995"/>
      </top>
      <bottom style="thin">
        <color theme="0" tint="-0.24995"/>
      </bottom>
      <diagonal/>
    </border>
  </borders>
  <cellStyleXfs count="4">
    <xf numFmtId="0" fontId="0" fillId="0" borderId="5"/>
    <xf numFmtId="0" fontId="15" fillId="0" borderId="5"/>
    <xf numFmtId="0" fontId="0" fillId="0" borderId="0"/>
    <xf numFmtId="0" fontId="15" fillId="0" borderId="0"/>
  </cellStyleXfs>
  <cellXfs count="253">
    <xf numFmtId="0" fontId="0" fillId="0" borderId="0" xfId="0" applyBorder="1"/>
    <xf numFmtId="0" fontId="1" fillId="0" borderId="0" xfId="0" applyFont="1" applyBorder="1" applyAlignment="1">
      <alignment vertical="top"/>
    </xf>
    <xf numFmtId="0" fontId="2" fillId="0" borderId="0" xfId="0" applyFont="1" applyBorder="1"/>
    <xf numFmtId="0" fontId="3" fillId="0" borderId="0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3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/>
    <xf numFmtId="0" fontId="7" fillId="0" borderId="0" xfId="0" applyFont="1" applyBorder="1"/>
    <xf numFmtId="0" fontId="5" fillId="0" borderId="0" xfId="0" applyFont="1" applyBorder="1"/>
    <xf numFmtId="0" fontId="1" fillId="5" borderId="4" xfId="0" applyFont="1" applyFill="1" applyBorder="1"/>
    <xf numFmtId="0" fontId="1" fillId="5" borderId="4" xfId="0" applyFont="1" applyFill="1" applyBorder="1" applyAlignment="1">
      <alignment horizontal="center"/>
    </xf>
    <xf numFmtId="0" fontId="8" fillId="0" borderId="0" xfId="0" applyFont="1" applyBorder="1"/>
    <xf numFmtId="0" fontId="1" fillId="6" borderId="3" xfId="0" applyFont="1" applyFill="1" applyBorder="1"/>
    <xf numFmtId="0" fontId="1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" fillId="0" borderId="0" xfId="0" applyFont="1" applyBorder="1"/>
    <xf numFmtId="0" fontId="1" fillId="0" borderId="0" xfId="0" applyFont="1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wrapText="1"/>
      <protection locked="0"/>
    </xf>
    <xf numFmtId="0" fontId="11" fillId="0" borderId="0" xfId="0" applyFont="1" applyBorder="1" applyAlignment="1">
      <alignment wrapText="1"/>
    </xf>
    <xf numFmtId="0" fontId="12" fillId="0" borderId="2" xfId="0" applyFont="1" applyBorder="1" applyAlignment="1" applyProtection="1">
      <alignment horizontal="left" vertical="center" wrapText="1"/>
      <protection locked="0"/>
    </xf>
    <xf numFmtId="0" fontId="11" fillId="0" borderId="0" xfId="0" applyFont="1" applyBorder="1"/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wrapText="1"/>
    </xf>
    <xf numFmtId="0" fontId="15" fillId="0" borderId="5" xfId="1"/>
    <xf numFmtId="0" fontId="15" fillId="0" borderId="7" xfId="1" applyBorder="1"/>
    <xf numFmtId="0" fontId="15" fillId="0" borderId="5" xfId="1" applyAlignment="1">
      <alignment vertical="center" wrapText="1"/>
    </xf>
    <xf numFmtId="164" fontId="15" fillId="0" borderId="7" xfId="1" applyNumberFormat="1" applyBorder="1" applyAlignment="1">
      <alignment horizontal="center"/>
    </xf>
    <xf numFmtId="0" fontId="15" fillId="0" borderId="7" xfId="1" applyBorder="1" applyAlignment="1">
      <alignment horizontal="center"/>
    </xf>
    <xf numFmtId="49" fontId="15" fillId="0" borderId="7" xfId="1" applyNumberFormat="1" applyBorder="1" applyAlignment="1">
      <alignment horizontal="center"/>
    </xf>
    <xf numFmtId="0" fontId="15" fillId="0" borderId="5" xfId="1" applyAlignment="1">
      <alignment wrapText="1"/>
    </xf>
    <xf numFmtId="0" fontId="15" fillId="0" borderId="8" xfId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/>
    <xf numFmtId="2" fontId="1" fillId="0" borderId="3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1" fontId="1" fillId="0" borderId="3" xfId="0" applyNumberFormat="1" applyFont="1" applyBorder="1" applyAlignment="1">
      <alignment horizontal="center"/>
    </xf>
    <xf numFmtId="1" fontId="1" fillId="3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0" fontId="0" fillId="0" borderId="0" xfId="0" applyBorder="1" applyAlignment="1">
      <alignment vertical="top" wrapText="1"/>
    </xf>
    <xf numFmtId="0" fontId="15" fillId="0" borderId="7" xfId="1" applyBorder="1" applyAlignment="1">
      <alignment vertical="top" wrapText="1"/>
    </xf>
    <xf numFmtId="0" fontId="18" fillId="7" borderId="8" xfId="1" applyFont="1" applyFill="1" applyBorder="1" applyAlignment="1">
      <alignment vertical="top" wrapText="1"/>
    </xf>
    <xf numFmtId="0" fontId="15" fillId="0" borderId="8" xfId="1" applyBorder="1" applyAlignment="1">
      <alignment vertical="top" wrapText="1"/>
    </xf>
    <xf numFmtId="0" fontId="17" fillId="0" borderId="5" xfId="1" applyFont="1" applyAlignment="1">
      <alignment vertical="top" wrapText="1"/>
    </xf>
    <xf numFmtId="0" fontId="19" fillId="0" borderId="5" xfId="1" applyFont="1" applyAlignment="1">
      <alignment vertical="top" wrapText="1"/>
    </xf>
    <xf numFmtId="0" fontId="15" fillId="8" borderId="7" xfId="1" applyFill="1" applyBorder="1" applyAlignment="1">
      <alignment vertical="top" wrapText="1"/>
    </xf>
    <xf numFmtId="0" fontId="15" fillId="9" borderId="5" xfId="1" applyFill="1" applyAlignment="1">
      <alignment vertical="top" wrapText="1"/>
    </xf>
    <xf numFmtId="165" fontId="15" fillId="0" borderId="7" xfId="0" applyNumberFormat="1" applyFont="1" applyBorder="1" applyAlignment="1">
      <alignment vertical="top" wrapText="1"/>
    </xf>
    <xf numFmtId="49" fontId="15" fillId="0" borderId="7" xfId="1" applyNumberFormat="1" applyBorder="1" applyAlignment="1">
      <alignment vertical="top" wrapText="1"/>
    </xf>
    <xf numFmtId="164" fontId="15" fillId="0" borderId="7" xfId="1" applyNumberForma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0" fillId="10" borderId="1" xfId="0" applyFont="1" applyFill="1" applyBorder="1" applyAlignment="1">
      <alignment vertical="top" wrapText="1"/>
    </xf>
    <xf numFmtId="0" fontId="20" fillId="10" borderId="1" xfId="0" applyFont="1" applyFill="1" applyBorder="1" applyAlignment="1" applyProtection="1">
      <alignment vertical="top" wrapText="1"/>
      <protection locked="0"/>
    </xf>
    <xf numFmtId="0" fontId="12" fillId="0" borderId="2" xfId="0" applyFont="1" applyBorder="1" applyAlignment="1" applyProtection="1">
      <alignment vertical="top" wrapText="1"/>
      <protection locked="0"/>
    </xf>
    <xf numFmtId="0" fontId="20" fillId="10" borderId="3" xfId="0" applyFont="1" applyFill="1" applyBorder="1" applyAlignment="1">
      <alignment vertical="top" wrapText="1"/>
    </xf>
    <xf numFmtId="1" fontId="1" fillId="0" borderId="3" xfId="0" applyNumberFormat="1" applyFont="1" applyBorder="1" applyAlignment="1">
      <alignment vertical="top" wrapText="1"/>
    </xf>
    <xf numFmtId="1" fontId="1" fillId="3" borderId="3" xfId="0" applyNumberFormat="1" applyFont="1" applyFill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2" fontId="1" fillId="0" borderId="3" xfId="0" applyNumberFormat="1" applyFont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1" fontId="1" fillId="4" borderId="3" xfId="0" applyNumberFormat="1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0" fontId="1" fillId="0" borderId="6" xfId="0" applyFont="1" applyBorder="1"/>
    <xf numFmtId="0" fontId="0" fillId="0" borderId="0" xfId="0" applyBorder="1"/>
    <xf numFmtId="0" fontId="0" fillId="0" borderId="6" xfId="0" applyBorder="1"/>
    <xf numFmtId="0" fontId="1" fillId="0" borderId="6" xfId="0" applyFont="1" applyBorder="1" applyAlignment="1">
      <alignment horizontal="center" vertical="center"/>
    </xf>
    <xf numFmtId="0" fontId="0" fillId="0" borderId="8" xfId="0" applyBorder="1" applyAlignment="1">
      <alignment vertical="top" wrapText="1"/>
    </xf>
    <xf numFmtId="0" fontId="0" fillId="0" borderId="11" xfId="0" applyBorder="1"/>
    <xf numFmtId="0" fontId="0" fillId="0" borderId="9" xfId="0" applyBorder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5" xfId="0" applyFont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5" fillId="0" borderId="5" xfId="1" applyBorder="1"/>
    <xf numFmtId="0" fontId="0" fillId="0" borderId="5" xfId="0" applyBorder="1" applyAlignment="1">
      <alignment vertical="top" wrapText="1"/>
    </xf>
    <xf numFmtId="0" fontId="18" fillId="0" borderId="5" xfId="1" applyFont="1"/>
    <xf numFmtId="0" fontId="17" fillId="0" borderId="12" xfId="1" applyFont="1" applyBorder="1" applyAlignment="1">
      <alignment vertical="top" wrapText="1"/>
    </xf>
    <xf numFmtId="0" fontId="15" fillId="0" borderId="12" xfId="1" applyBorder="1" applyAlignment="1">
      <alignment vertical="top" wrapText="1"/>
    </xf>
    <xf numFmtId="0" fontId="18" fillId="0" borderId="8" xfId="1" applyFont="1" applyBorder="1"/>
    <xf numFmtId="0" fontId="0" fillId="0" borderId="13" xfId="0" applyBorder="1" applyAlignment="1">
      <alignment vertical="top" wrapText="1"/>
    </xf>
    <xf numFmtId="0" fontId="15" fillId="0" borderId="14" xfId="1" applyBorder="1"/>
    <xf numFmtId="0" fontId="15" fillId="0" borderId="13" xfId="1" applyBorder="1"/>
    <xf numFmtId="0" fontId="0" fillId="0" borderId="14" xfId="0" applyBorder="1" applyAlignment="1">
      <alignment vertical="top" wrapText="1"/>
    </xf>
    <xf numFmtId="0" fontId="0" fillId="0" borderId="0" xfId="2" applyBorder="1"/>
    <xf numFmtId="0" fontId="1" fillId="0" borderId="0" xfId="2" applyFont="1" applyBorder="1" applyAlignment="1">
      <alignment vertical="top"/>
    </xf>
    <xf numFmtId="0" fontId="2" fillId="0" borderId="0" xfId="2" applyFont="1" applyBorder="1"/>
    <xf numFmtId="0" fontId="3" fillId="0" borderId="0" xfId="2" applyFont="1" applyBorder="1"/>
    <xf numFmtId="0" fontId="1" fillId="0" borderId="3" xfId="2" applyFont="1" applyBorder="1"/>
    <xf numFmtId="0" fontId="1" fillId="0" borderId="3" xfId="2" applyFont="1" applyBorder="1" applyAlignment="1">
      <alignment horizontal="center"/>
    </xf>
    <xf numFmtId="0" fontId="1" fillId="0" borderId="3" xfId="2" applyFont="1" applyBorder="1" applyAlignment="1">
      <alignment vertical="top"/>
    </xf>
    <xf numFmtId="0" fontId="1" fillId="0" borderId="0" xfId="2" applyFont="1" applyBorder="1" applyAlignment="1">
      <alignment horizontal="center" vertical="center"/>
    </xf>
    <xf numFmtId="0" fontId="1" fillId="0" borderId="0" xfId="2" applyFont="1" applyBorder="1" applyAlignment="1">
      <alignment horizontal="center"/>
    </xf>
    <xf numFmtId="0" fontId="5" fillId="0" borderId="0" xfId="2" applyFont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 wrapText="1"/>
    </xf>
    <xf numFmtId="0" fontId="1" fillId="0" borderId="3" xfId="2" applyFont="1" applyBorder="1" applyAlignment="1">
      <alignment horizontal="center" vertical="center"/>
    </xf>
    <xf numFmtId="0" fontId="1" fillId="3" borderId="0" xfId="2" applyFont="1" applyFill="1" applyBorder="1" applyAlignment="1">
      <alignment horizontal="center" vertical="center"/>
    </xf>
    <xf numFmtId="0" fontId="1" fillId="3" borderId="0" xfId="2" applyFont="1" applyFill="1" applyBorder="1" applyAlignment="1">
      <alignment horizontal="center"/>
    </xf>
    <xf numFmtId="0" fontId="1" fillId="3" borderId="0" xfId="2" applyFont="1" applyFill="1" applyBorder="1"/>
    <xf numFmtId="0" fontId="1" fillId="3" borderId="3" xfId="2" applyFont="1" applyFill="1" applyBorder="1"/>
    <xf numFmtId="0" fontId="1" fillId="4" borderId="0" xfId="2" applyFont="1" applyFill="1" applyBorder="1" applyAlignment="1">
      <alignment horizontal="center" vertical="center"/>
    </xf>
    <xf numFmtId="0" fontId="1" fillId="4" borderId="0" xfId="2" applyFont="1" applyFill="1" applyBorder="1" applyAlignment="1">
      <alignment horizontal="center"/>
    </xf>
    <xf numFmtId="0" fontId="1" fillId="4" borderId="0" xfId="2" applyFont="1" applyFill="1" applyBorder="1"/>
    <xf numFmtId="0" fontId="7" fillId="0" borderId="0" xfId="2" applyFont="1" applyBorder="1"/>
    <xf numFmtId="0" fontId="5" fillId="0" borderId="0" xfId="2" applyFont="1" applyBorder="1"/>
    <xf numFmtId="0" fontId="1" fillId="5" borderId="0" xfId="2" applyFont="1" applyFill="1" applyBorder="1"/>
    <xf numFmtId="0" fontId="1" fillId="5" borderId="0" xfId="2" applyFont="1" applyFill="1" applyBorder="1" applyAlignment="1">
      <alignment horizontal="center"/>
    </xf>
    <xf numFmtId="0" fontId="8" fillId="0" borderId="0" xfId="2" applyFont="1" applyBorder="1"/>
    <xf numFmtId="0" fontId="1" fillId="6" borderId="3" xfId="2" applyFont="1" applyFill="1" applyBorder="1"/>
    <xf numFmtId="0" fontId="1" fillId="0" borderId="3" xfId="2" applyFont="1" applyBorder="1" applyAlignment="1">
      <alignment vertical="top" wrapText="1"/>
    </xf>
    <xf numFmtId="0" fontId="21" fillId="0" borderId="3" xfId="2" applyFont="1" applyBorder="1" applyAlignment="1">
      <alignment vertical="top" wrapText="1"/>
    </xf>
    <xf numFmtId="0" fontId="1" fillId="0" borderId="0" xfId="2" applyFont="1" applyBorder="1"/>
    <xf numFmtId="0" fontId="1" fillId="0" borderId="0" xfId="2" applyFont="1" applyBorder="1" applyAlignment="1" applyProtection="1">
      <alignment vertical="top" wrapText="1"/>
      <protection locked="0"/>
    </xf>
    <xf numFmtId="0" fontId="0" fillId="0" borderId="0" xfId="2" applyBorder="1" applyAlignment="1" applyProtection="1">
      <alignment wrapText="1"/>
      <protection locked="0"/>
    </xf>
    <xf numFmtId="0" fontId="11" fillId="0" borderId="0" xfId="2" applyFont="1" applyBorder="1" applyAlignment="1">
      <alignment wrapText="1"/>
    </xf>
    <xf numFmtId="0" fontId="12" fillId="0" borderId="2" xfId="2" applyFont="1" applyBorder="1" applyAlignment="1" applyProtection="1">
      <alignment horizontal="left" vertical="center" wrapText="1"/>
      <protection locked="0"/>
    </xf>
    <xf numFmtId="0" fontId="11" fillId="0" borderId="0" xfId="2" applyFont="1" applyBorder="1"/>
    <xf numFmtId="0" fontId="12" fillId="0" borderId="2" xfId="2" applyFont="1" applyBorder="1" applyAlignment="1">
      <alignment vertical="center"/>
    </xf>
    <xf numFmtId="0" fontId="12" fillId="0" borderId="2" xfId="2" applyFont="1" applyBorder="1" applyAlignment="1">
      <alignment horizontal="center" vertical="center"/>
    </xf>
    <xf numFmtId="0" fontId="12" fillId="0" borderId="2" xfId="2" applyFont="1" applyBorder="1" applyAlignment="1">
      <alignment horizontal="left" vertical="center"/>
    </xf>
    <xf numFmtId="0" fontId="1" fillId="0" borderId="3" xfId="2" applyFont="1" applyBorder="1" applyAlignment="1">
      <alignment wrapText="1"/>
    </xf>
    <xf numFmtId="0" fontId="15" fillId="0" borderId="0" xfId="3"/>
    <xf numFmtId="0" fontId="15" fillId="0" borderId="15" xfId="3" applyBorder="1"/>
    <xf numFmtId="0" fontId="15" fillId="0" borderId="0" xfId="3" applyAlignment="1">
      <alignment vertical="center" wrapText="1"/>
    </xf>
    <xf numFmtId="164" fontId="15" fillId="0" borderId="15" xfId="3" applyNumberFormat="1" applyBorder="1" applyAlignment="1">
      <alignment horizontal="center"/>
    </xf>
    <xf numFmtId="0" fontId="15" fillId="0" borderId="15" xfId="3" applyBorder="1" applyAlignment="1">
      <alignment horizontal="center"/>
    </xf>
    <xf numFmtId="49" fontId="15" fillId="0" borderId="15" xfId="3" applyNumberFormat="1" applyBorder="1" applyAlignment="1">
      <alignment horizontal="center"/>
    </xf>
    <xf numFmtId="0" fontId="15" fillId="0" borderId="0" xfId="3" applyAlignment="1">
      <alignment wrapText="1"/>
    </xf>
    <xf numFmtId="0" fontId="15" fillId="0" borderId="8" xfId="3" applyBorder="1"/>
    <xf numFmtId="0" fontId="0" fillId="0" borderId="0" xfId="2" applyBorder="1" applyAlignment="1">
      <alignment horizontal="center" vertical="center"/>
    </xf>
    <xf numFmtId="0" fontId="0" fillId="0" borderId="0" xfId="2" applyBorder="1" applyAlignment="1">
      <alignment horizontal="center"/>
    </xf>
    <xf numFmtId="0" fontId="0" fillId="0" borderId="8" xfId="2" applyBorder="1"/>
    <xf numFmtId="2" fontId="1" fillId="0" borderId="3" xfId="2" applyNumberFormat="1" applyFont="1" applyBorder="1" applyAlignment="1">
      <alignment horizontal="center" vertical="center"/>
    </xf>
    <xf numFmtId="0" fontId="12" fillId="0" borderId="2" xfId="2" applyFont="1" applyBorder="1" applyAlignment="1">
      <alignment vertical="top" wrapText="1"/>
    </xf>
    <xf numFmtId="0" fontId="13" fillId="0" borderId="2" xfId="2" applyFont="1" applyBorder="1" applyAlignment="1">
      <alignment vertical="top" wrapText="1"/>
    </xf>
    <xf numFmtId="1" fontId="1" fillId="0" borderId="3" xfId="2" applyNumberFormat="1" applyFont="1" applyBorder="1" applyAlignment="1">
      <alignment horizontal="center"/>
    </xf>
    <xf numFmtId="1" fontId="1" fillId="3" borderId="3" xfId="2" applyNumberFormat="1" applyFont="1" applyFill="1" applyBorder="1" applyAlignment="1">
      <alignment horizontal="center"/>
    </xf>
    <xf numFmtId="1" fontId="1" fillId="4" borderId="3" xfId="2" applyNumberFormat="1" applyFont="1" applyFill="1" applyBorder="1" applyAlignment="1">
      <alignment horizontal="center"/>
    </xf>
    <xf numFmtId="0" fontId="0" fillId="0" borderId="0" xfId="2" applyBorder="1" applyAlignment="1">
      <alignment vertical="top" wrapText="1"/>
    </xf>
    <xf numFmtId="0" fontId="15" fillId="0" borderId="15" xfId="3" applyBorder="1" applyAlignment="1">
      <alignment vertical="top" wrapText="1"/>
    </xf>
    <xf numFmtId="0" fontId="18" fillId="11" borderId="8" xfId="3" applyFont="1" applyFill="1" applyBorder="1" applyAlignment="1">
      <alignment vertical="top" wrapText="1"/>
    </xf>
    <xf numFmtId="0" fontId="15" fillId="0" borderId="8" xfId="3" applyBorder="1" applyAlignment="1">
      <alignment vertical="top" wrapText="1"/>
    </xf>
    <xf numFmtId="0" fontId="17" fillId="0" borderId="0" xfId="3" applyFont="1" applyAlignment="1">
      <alignment vertical="top" wrapText="1"/>
    </xf>
    <xf numFmtId="0" fontId="19" fillId="0" borderId="0" xfId="3" applyFont="1" applyAlignment="1">
      <alignment vertical="top" wrapText="1"/>
    </xf>
    <xf numFmtId="0" fontId="15" fillId="12" borderId="15" xfId="3" applyFill="1" applyBorder="1" applyAlignment="1">
      <alignment vertical="top" wrapText="1"/>
    </xf>
    <xf numFmtId="0" fontId="15" fillId="13" borderId="0" xfId="3" applyFill="1" applyAlignment="1">
      <alignment vertical="top" wrapText="1"/>
    </xf>
    <xf numFmtId="165" fontId="15" fillId="0" borderId="15" xfId="2" applyNumberFormat="1" applyFont="1" applyBorder="1" applyAlignment="1">
      <alignment vertical="top" wrapText="1"/>
    </xf>
    <xf numFmtId="49" fontId="15" fillId="0" borderId="15" xfId="3" applyNumberFormat="1" applyBorder="1" applyAlignment="1">
      <alignment vertical="top" wrapText="1"/>
    </xf>
    <xf numFmtId="164" fontId="15" fillId="0" borderId="15" xfId="3" applyNumberFormat="1" applyBorder="1" applyAlignment="1">
      <alignment vertical="top" wrapText="1"/>
    </xf>
    <xf numFmtId="0" fontId="2" fillId="0" borderId="0" xfId="2" applyFont="1" applyBorder="1" applyAlignment="1">
      <alignment vertical="top" wrapText="1"/>
    </xf>
    <xf numFmtId="0" fontId="20" fillId="10" borderId="1" xfId="2" applyFont="1" applyFill="1" applyBorder="1" applyAlignment="1">
      <alignment vertical="top" wrapText="1"/>
    </xf>
    <xf numFmtId="0" fontId="20" fillId="10" borderId="1" xfId="2" applyFont="1" applyFill="1" applyBorder="1" applyAlignment="1" applyProtection="1">
      <alignment vertical="top" wrapText="1"/>
      <protection locked="0"/>
    </xf>
    <xf numFmtId="0" fontId="12" fillId="0" borderId="2" xfId="2" applyFont="1" applyBorder="1" applyAlignment="1" applyProtection="1">
      <alignment vertical="top" wrapText="1"/>
      <protection locked="0"/>
    </xf>
    <xf numFmtId="0" fontId="20" fillId="10" borderId="3" xfId="2" applyFont="1" applyFill="1" applyBorder="1" applyAlignment="1">
      <alignment vertical="top" wrapText="1"/>
    </xf>
    <xf numFmtId="1" fontId="1" fillId="0" borderId="3" xfId="2" applyNumberFormat="1" applyFont="1" applyBorder="1" applyAlignment="1">
      <alignment vertical="top" wrapText="1"/>
    </xf>
    <xf numFmtId="1" fontId="1" fillId="3" borderId="3" xfId="2" applyNumberFormat="1" applyFont="1" applyFill="1" applyBorder="1" applyAlignment="1">
      <alignment vertical="top" wrapText="1"/>
    </xf>
    <xf numFmtId="0" fontId="16" fillId="0" borderId="3" xfId="2" applyFont="1" applyBorder="1" applyAlignment="1">
      <alignment vertical="top" wrapText="1"/>
    </xf>
    <xf numFmtId="2" fontId="1" fillId="0" borderId="3" xfId="2" applyNumberFormat="1" applyFont="1" applyBorder="1" applyAlignment="1">
      <alignment vertical="top" wrapText="1"/>
    </xf>
    <xf numFmtId="0" fontId="6" fillId="4" borderId="3" xfId="2" applyFont="1" applyFill="1" applyBorder="1" applyAlignment="1">
      <alignment vertical="top" wrapText="1"/>
    </xf>
    <xf numFmtId="1" fontId="1" fillId="4" borderId="3" xfId="2" applyNumberFormat="1" applyFont="1" applyFill="1" applyBorder="1" applyAlignment="1">
      <alignment vertical="top" wrapText="1"/>
    </xf>
    <xf numFmtId="0" fontId="0" fillId="0" borderId="8" xfId="2" applyBorder="1" applyAlignment="1">
      <alignment vertical="top" wrapText="1"/>
    </xf>
    <xf numFmtId="0" fontId="18" fillId="0" borderId="10" xfId="2" applyFont="1" applyBorder="1" applyAlignment="1">
      <alignment vertical="top" wrapText="1"/>
    </xf>
    <xf numFmtId="0" fontId="1" fillId="0" borderId="6" xfId="2" applyFont="1" applyBorder="1"/>
    <xf numFmtId="0" fontId="0" fillId="0" borderId="6" xfId="2" applyBorder="1"/>
    <xf numFmtId="0" fontId="1" fillId="0" borderId="6" xfId="2" applyFont="1" applyBorder="1" applyAlignment="1">
      <alignment horizontal="center" vertical="center"/>
    </xf>
    <xf numFmtId="0" fontId="0" fillId="0" borderId="11" xfId="2" applyBorder="1"/>
    <xf numFmtId="0" fontId="0" fillId="0" borderId="9" xfId="2" applyBorder="1" applyAlignment="1">
      <alignment vertical="top" wrapText="1"/>
    </xf>
    <xf numFmtId="0" fontId="14" fillId="0" borderId="6" xfId="2" applyFont="1" applyBorder="1" applyAlignment="1">
      <alignment vertical="top" wrapText="1"/>
    </xf>
    <xf numFmtId="0" fontId="15" fillId="0" borderId="6" xfId="2" applyFont="1" applyBorder="1" applyAlignment="1">
      <alignment vertical="top" wrapText="1"/>
    </xf>
    <xf numFmtId="0" fontId="1" fillId="0" borderId="6" xfId="2" applyFont="1" applyBorder="1" applyAlignment="1">
      <alignment vertical="top" wrapText="1"/>
    </xf>
    <xf numFmtId="0" fontId="2" fillId="0" borderId="0" xfId="2" applyFont="1" applyAlignment="1">
      <alignment vertical="top" wrapText="1"/>
    </xf>
    <xf numFmtId="0" fontId="11" fillId="0" borderId="6" xfId="2" applyFont="1" applyBorder="1" applyAlignment="1">
      <alignment vertical="top" wrapText="1"/>
    </xf>
    <xf numFmtId="0" fontId="4" fillId="0" borderId="6" xfId="2" applyFont="1" applyBorder="1" applyAlignment="1">
      <alignment vertical="top" wrapText="1"/>
    </xf>
    <xf numFmtId="0" fontId="1" fillId="5" borderId="6" xfId="2" applyFont="1" applyFill="1" applyBorder="1" applyAlignment="1">
      <alignment horizontal="center" vertical="center" wrapText="1"/>
    </xf>
    <xf numFmtId="0" fontId="1" fillId="5" borderId="6" xfId="2" applyFont="1" applyFill="1" applyBorder="1" applyAlignment="1">
      <alignment horizontal="center" wrapText="1"/>
    </xf>
    <xf numFmtId="0" fontId="9" fillId="0" borderId="6" xfId="2" applyFont="1" applyBorder="1" applyAlignment="1">
      <alignment horizontal="center" wrapText="1"/>
    </xf>
    <xf numFmtId="0" fontId="1" fillId="0" borderId="6" xfId="2" applyFont="1" applyBorder="1" applyAlignment="1">
      <alignment horizontal="center" vertical="center" wrapText="1"/>
    </xf>
    <xf numFmtId="0" fontId="1" fillId="0" borderId="6" xfId="2" applyFont="1" applyBorder="1" applyAlignment="1">
      <alignment vertical="center" wrapText="1"/>
    </xf>
    <xf numFmtId="0" fontId="15" fillId="0" borderId="0" xfId="3" applyBorder="1"/>
    <xf numFmtId="0" fontId="18" fillId="0" borderId="0" xfId="3" applyFont="1"/>
    <xf numFmtId="0" fontId="17" fillId="0" borderId="12" xfId="3" applyFont="1" applyBorder="1" applyAlignment="1">
      <alignment vertical="top" wrapText="1"/>
    </xf>
    <xf numFmtId="0" fontId="15" fillId="0" borderId="12" xfId="3" applyBorder="1" applyAlignment="1">
      <alignment vertical="top" wrapText="1"/>
    </xf>
    <xf numFmtId="0" fontId="18" fillId="0" borderId="8" xfId="3" applyFont="1" applyBorder="1"/>
    <xf numFmtId="0" fontId="0" fillId="0" borderId="13" xfId="2" applyBorder="1" applyAlignment="1">
      <alignment vertical="top" wrapText="1"/>
    </xf>
    <xf numFmtId="0" fontId="15" fillId="0" borderId="14" xfId="3" applyBorder="1"/>
    <xf numFmtId="0" fontId="15" fillId="0" borderId="13" xfId="3" applyBorder="1"/>
    <xf numFmtId="0" fontId="0" fillId="0" borderId="14" xfId="2" applyBorder="1" applyAlignment="1">
      <alignment vertical="top" wrapText="1"/>
    </xf>
    <xf numFmtId="0" fontId="1" fillId="0" borderId="3" xfId="2" applyNumberFormat="1" applyFont="1" applyFill="1" applyBorder="1" applyAlignment="1">
      <alignment vertical="top" wrapText="1"/>
    </xf>
    <xf numFmtId="1" fontId="1" fillId="0" borderId="3" xfId="2" applyNumberFormat="1" applyFont="1" applyFill="1" applyBorder="1" applyAlignment="1">
      <alignment vertical="top" wrapText="1"/>
    </xf>
    <xf numFmtId="0" fontId="1" fillId="0" borderId="3" xfId="2" applyNumberFormat="1" applyFont="1" applyFill="1" applyBorder="1" applyAlignment="1">
      <alignment vertical="center" wrapText="1"/>
    </xf>
    <xf numFmtId="1" fontId="1" fillId="0" borderId="3" xfId="2" applyNumberFormat="1" applyFont="1" applyFill="1" applyBorder="1" applyAlignment="1">
      <alignment vertical="center" wrapText="1"/>
    </xf>
    <xf numFmtId="0" fontId="16" fillId="0" borderId="3" xfId="2" applyNumberFormat="1" applyFont="1" applyFill="1" applyBorder="1" applyAlignment="1">
      <alignment vertical="top" wrapText="1"/>
    </xf>
    <xf numFmtId="0" fontId="16" fillId="0" borderId="3" xfId="2" applyNumberFormat="1" applyFont="1" applyFill="1" applyBorder="1" applyAlignment="1">
      <alignment vertical="center" wrapText="1"/>
    </xf>
    <xf numFmtId="2" fontId="1" fillId="0" borderId="3" xfId="2" applyNumberFormat="1" applyFont="1" applyFill="1" applyBorder="1" applyAlignment="1">
      <alignment vertical="top" wrapText="1"/>
    </xf>
    <xf numFmtId="2" fontId="1" fillId="0" borderId="3" xfId="2" applyNumberFormat="1" applyFont="1" applyFill="1" applyBorder="1" applyAlignment="1">
      <alignment vertical="center" wrapText="1"/>
    </xf>
    <xf numFmtId="0" fontId="1" fillId="0" borderId="0" xfId="2" applyNumberFormat="1" applyFont="1" applyFill="1" applyBorder="1" applyAlignment="1">
      <alignment horizontal="center" vertical="center" wrapText="1"/>
    </xf>
    <xf numFmtId="0" fontId="1" fillId="0" borderId="0" xfId="2" applyNumberFormat="1" applyFont="1" applyFill="1" applyBorder="1" applyAlignment="1">
      <alignment horizontal="center" wrapText="1"/>
    </xf>
    <xf numFmtId="0" fontId="0" fillId="0" borderId="0" xfId="2" applyNumberFormat="1" applyFont="1" applyFill="1" applyBorder="1" applyAlignment="1">
      <alignment wrapText="1"/>
    </xf>
    <xf numFmtId="0" fontId="0" fillId="0" borderId="0" xfId="2" applyNumberFormat="1" applyFont="1" applyFill="1" applyBorder="1" applyAlignment="1">
      <alignment vertical="center" wrapText="1"/>
    </xf>
    <xf numFmtId="0" fontId="1" fillId="10" borderId="0" xfId="2" applyNumberFormat="1" applyFont="1" applyFill="1" applyBorder="1" applyAlignment="1">
      <alignment horizontal="center" vertical="center" wrapText="1"/>
    </xf>
    <xf numFmtId="0" fontId="0" fillId="10" borderId="0" xfId="2" applyNumberFormat="1" applyFont="1" applyFill="1" applyBorder="1" applyAlignment="1">
      <alignment vertical="center" wrapText="1"/>
    </xf>
    <xf numFmtId="0" fontId="1" fillId="10" borderId="0" xfId="2" applyNumberFormat="1" applyFont="1" applyFill="1" applyBorder="1" applyAlignment="1">
      <alignment horizontal="left" vertical="center" wrapText="1"/>
    </xf>
    <xf numFmtId="0" fontId="0" fillId="10" borderId="0" xfId="2" applyNumberFormat="1" applyFont="1" applyFill="1" applyBorder="1" applyAlignment="1">
      <alignment horizontal="left" vertical="center" wrapText="1"/>
    </xf>
    <xf numFmtId="0" fontId="22" fillId="10" borderId="0" xfId="2" applyNumberFormat="1" applyFont="1" applyFill="1" applyBorder="1" applyAlignment="1">
      <alignment horizontal="left" vertical="center" wrapText="1"/>
    </xf>
    <xf numFmtId="0" fontId="23" fillId="10" borderId="0" xfId="2" applyNumberFormat="1" applyFont="1" applyFill="1" applyBorder="1" applyAlignment="1">
      <alignment horizontal="left" vertical="center" wrapText="1"/>
    </xf>
    <xf numFmtId="0" fontId="24" fillId="0" borderId="0" xfId="2" applyNumberFormat="1" applyFont="1" applyFill="1" applyBorder="1" applyAlignment="1">
      <alignment horizontal="center" vertical="center" wrapText="1"/>
    </xf>
    <xf numFmtId="0" fontId="25" fillId="0" borderId="0" xfId="2" applyNumberFormat="1" applyFont="1" applyFill="1" applyBorder="1" applyAlignment="1">
      <alignment vertical="center" wrapText="1"/>
    </xf>
    <xf numFmtId="166" fontId="1" fillId="0" borderId="0" xfId="2" applyNumberFormat="1" applyFont="1" applyFill="1" applyBorder="1" applyAlignment="1">
      <alignment horizontal="center" vertical="center"/>
    </xf>
    <xf numFmtId="0" fontId="1" fillId="0" borderId="0" xfId="2" applyNumberFormat="1" applyFont="1" applyFill="1" applyBorder="1" applyAlignment="1">
      <alignment horizontal="center" vertical="center"/>
    </xf>
    <xf numFmtId="0" fontId="0" fillId="0" borderId="0" xfId="2" applyNumberFormat="1" applyFont="1" applyFill="1" applyBorder="1" applyAlignment="1">
      <alignment vertical="center"/>
    </xf>
    <xf numFmtId="0" fontId="26" fillId="0" borderId="0" xfId="2" applyNumberFormat="1" applyFont="1" applyFill="1" applyBorder="1" applyAlignment="1">
      <alignment horizontal="center" vertical="center"/>
    </xf>
    <xf numFmtId="0" fontId="26" fillId="0" borderId="0" xfId="2" applyNumberFormat="1" applyFont="1" applyFill="1" applyBorder="1" applyAlignment="1">
      <alignment horizontal="center" vertical="center" wrapText="1"/>
    </xf>
    <xf numFmtId="0" fontId="25" fillId="0" borderId="0" xfId="2" applyNumberFormat="1" applyFont="1" applyFill="1" applyBorder="1" applyAlignment="1">
      <alignment vertical="center"/>
    </xf>
    <xf numFmtId="166" fontId="26" fillId="0" borderId="0" xfId="2" applyNumberFormat="1" applyFont="1" applyFill="1" applyBorder="1" applyAlignment="1">
      <alignment horizontal="center" vertical="center"/>
    </xf>
    <xf numFmtId="0" fontId="26" fillId="0" borderId="0" xfId="2" applyNumberFormat="1" applyFont="1" applyFill="1" applyBorder="1" applyAlignment="1">
      <alignment horizontal="left" vertical="center"/>
    </xf>
    <xf numFmtId="0" fontId="26" fillId="0" borderId="0" xfId="2" applyNumberFormat="1" applyFont="1" applyFill="1" applyBorder="1" applyAlignment="1">
      <alignment horizontal="left" vertical="center" wrapText="1"/>
    </xf>
    <xf numFmtId="0" fontId="25" fillId="0" borderId="0" xfId="2" applyNumberFormat="1" applyFont="1" applyFill="1" applyBorder="1" applyAlignment="1">
      <alignment horizontal="left" vertical="center" wrapText="1"/>
    </xf>
    <xf numFmtId="0" fontId="25" fillId="0" borderId="0" xfId="2" applyNumberFormat="1" applyFont="1" applyFill="1" applyBorder="1" applyAlignment="1">
      <alignment horizontal="left" vertical="center"/>
    </xf>
    <xf numFmtId="166" fontId="26" fillId="0" borderId="0" xfId="2" applyNumberFormat="1" applyFont="1" applyFill="1" applyBorder="1" applyAlignment="1">
      <alignment horizontal="left" vertical="center"/>
    </xf>
    <xf numFmtId="0" fontId="25" fillId="0" borderId="0" xfId="2" applyNumberFormat="1" applyFont="1" applyFill="1" applyBorder="1" applyAlignment="1">
      <alignment horizontal="right" vertical="center"/>
    </xf>
    <xf numFmtId="0" fontId="15" fillId="0" borderId="15" xfId="2" applyNumberFormat="1" applyFont="1" applyFill="1" applyBorder="1" applyAlignment="1">
      <alignment vertical="top" wrapText="1"/>
    </xf>
    <xf numFmtId="0" fontId="0" fillId="0" borderId="8" xfId="2" applyNumberFormat="1" applyFont="1" applyFill="1" applyBorder="1" applyAlignment="1">
      <alignment vertical="top" wrapText="1"/>
    </xf>
    <xf numFmtId="0" fontId="7" fillId="0" borderId="0" xfId="2" applyNumberFormat="1" applyFont="1" applyFill="1" applyBorder="1" applyAlignment="1">
      <alignment wrapText="1"/>
    </xf>
    <xf numFmtId="0" fontId="7" fillId="0" borderId="0" xfId="2" applyNumberFormat="1" applyFont="1" applyFill="1" applyBorder="1" applyAlignment="1">
      <alignment vertical="center" wrapText="1"/>
    </xf>
    <xf numFmtId="0" fontId="27" fillId="0" borderId="0" xfId="2" applyNumberFormat="1" applyFont="1" applyFill="1" applyBorder="1" applyAlignment="1">
      <alignment vertical="center" wrapText="1"/>
    </xf>
    <xf numFmtId="0" fontId="12" fillId="0" borderId="2" xfId="2" applyNumberFormat="1" applyFont="1" applyFill="1" applyBorder="1" applyAlignment="1">
      <alignment vertical="top" wrapText="1"/>
    </xf>
    <xf numFmtId="0" fontId="12" fillId="0" borderId="2" xfId="2" applyNumberFormat="1" applyFont="1" applyFill="1" applyBorder="1" applyAlignment="1">
      <alignment vertical="center" wrapText="1"/>
    </xf>
    <xf numFmtId="0" fontId="12" fillId="0" borderId="2" xfId="2" applyNumberFormat="1" applyFont="1" applyFill="1" applyBorder="1" applyAlignment="1">
      <alignment horizontal="left" vertical="center" wrapText="1"/>
    </xf>
    <xf numFmtId="0" fontId="25" fillId="0" borderId="0" xfId="2" applyNumberFormat="1" applyFont="1" applyFill="1" applyBorder="1"/>
    <xf numFmtId="0" fontId="25" fillId="0" borderId="0" xfId="2" applyNumberFormat="1" applyFont="1" applyFill="1" applyBorder="1" applyAlignment="1">
      <alignment wrapText="1"/>
    </xf>
    <xf numFmtId="167" fontId="26" fillId="0" borderId="0" xfId="2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ns3:uid="{00000000-0005-0000-0000-000001000000}"/>
  </cellStyles>
  <dxfs count="0"/>
  <tableStyles count="0" defaultTableStyle="TableStyleMedium2" defaultPivotStyle="PivotStyleLight16"/>
  <extLst>
    <ext uri="{EB79DEF2-80B8-43e5-95BD-54CBDDF9020C}">
      <ns4:slicerStyles defaultSlicerStyle="SlicerStyleLight1"/>
    </ext>
    <ext uri="{9260A510-F301-46a8-8635-F512D64BE5F5}">
      <ns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 sz="1200" b="1" i="0">
                <a:solidFill>
                  <a:schemeClr val="dk1"/>
                </a:solidFill>
                <a:latin typeface="Calibri Light"/>
                <a:ea typeface="Calibri Light"/>
                <a:cs typeface="Calibri Light"/>
              </a:rPr>
              <a:t>Burn Down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0646061187341777E-2"/>
          <c:y val="0.12941176470588231"/>
          <c:w val="0.90839781569543487"/>
          <c:h val="0.74291948800517582"/>
        </c:manualLayout>
      </c:layout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1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1 Backlog'!$L$39:$Z$39</c:f>
              <c:numCache>
                <c:formatCode>0</c:formatCode>
                <c:ptCount val="15"/>
                <c:pt idx="0">
                  <c:v>112</c:v>
                </c:pt>
                <c:pt idx="1">
                  <c:v>112</c:v>
                </c:pt>
                <c:pt idx="2">
                  <c:v>112</c:v>
                </c:pt>
                <c:pt idx="3">
                  <c:v>112</c:v>
                </c:pt>
                <c:pt idx="4">
                  <c:v>112</c:v>
                </c:pt>
                <c:pt idx="5">
                  <c:v>112</c:v>
                </c:pt>
                <c:pt idx="6">
                  <c:v>112</c:v>
                </c:pt>
                <c:pt idx="7">
                  <c:v>112</c:v>
                </c:pt>
                <c:pt idx="8">
                  <c:v>112</c:v>
                </c:pt>
                <c:pt idx="9">
                  <c:v>112</c:v>
                </c:pt>
                <c:pt idx="10">
                  <c:v>112</c:v>
                </c:pt>
                <c:pt idx="11">
                  <c:v>112</c:v>
                </c:pt>
                <c:pt idx="12">
                  <c:v>112</c:v>
                </c:pt>
                <c:pt idx="13">
                  <c:v>112</c:v>
                </c:pt>
                <c:pt idx="14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A-4215-9B64-2430526F6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720747"/>
        <c:axId val="48257194"/>
      </c:lineChart>
      <c:catAx>
        <c:axId val="1241720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 b="0" i="0">
                <a:solidFill>
                  <a:schemeClr val="dk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257194"/>
        <c:crosses val="autoZero"/>
        <c:auto val="1"/>
        <c:lblAlgn val="ctr"/>
        <c:lblOffset val="100"/>
        <c:noMultiLvlLbl val="1"/>
      </c:catAx>
      <c:valAx>
        <c:axId val="48257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900" b="0" i="0">
                <a:solidFill>
                  <a:schemeClr val="dk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241720747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 sz="1200" b="1" i="0">
                <a:solidFill>
                  <a:schemeClr val="dk1"/>
                </a:solidFill>
                <a:latin typeface="Calibri Light"/>
                <a:ea typeface="Calibri Light"/>
                <a:cs typeface="Calibri Light"/>
              </a:rPr>
              <a:t>Burn Up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1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1 Backlog'!$L$40:$Z$40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7-4D45-A8F8-8F1E0920E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414657"/>
        <c:axId val="868075237"/>
      </c:lineChart>
      <c:catAx>
        <c:axId val="682414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 b="0" i="0">
                <a:solidFill>
                  <a:schemeClr val="dk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868075237"/>
        <c:crosses val="autoZero"/>
        <c:auto val="1"/>
        <c:lblAlgn val="ctr"/>
        <c:lblOffset val="100"/>
        <c:noMultiLvlLbl val="1"/>
      </c:catAx>
      <c:valAx>
        <c:axId val="868075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900" b="0" i="0">
                <a:solidFill>
                  <a:schemeClr val="dk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682414657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2</xdr:col>
      <xdr:colOff>640080</xdr:colOff>
      <xdr:row>1</xdr:row>
      <xdr:rowOff>457200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1036320</xdr:colOff>
      <xdr:row>0</xdr:row>
      <xdr:rowOff>0</xdr:rowOff>
    </xdr:from>
    <xdr:to>
      <xdr:col>5</xdr:col>
      <xdr:colOff>1516380</xdr:colOff>
      <xdr:row>1</xdr:row>
      <xdr:rowOff>662940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2420" y="0"/>
          <a:ext cx="3970020" cy="838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00200" cy="61912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38100</xdr:rowOff>
    </xdr:from>
    <xdr:ext cx="1581150" cy="61912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8</xdr:row>
      <xdr:rowOff>104775</xdr:rowOff>
    </xdr:from>
    <xdr:ext cx="4648200" cy="3324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581025</xdr:colOff>
      <xdr:row>8</xdr:row>
      <xdr:rowOff>76200</xdr:rowOff>
    </xdr:from>
    <xdr:ext cx="4619625" cy="3314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285750</xdr:colOff>
      <xdr:row>0</xdr:row>
      <xdr:rowOff>0</xdr:rowOff>
    </xdr:from>
    <xdr:ext cx="1562100" cy="619125"/>
    <xdr:pic>
      <xdr:nvPicPr>
        <xdr:cNvPr id="4" name="/xl/media/image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38100</xdr:rowOff>
    </xdr:from>
    <xdr:ext cx="1581150" cy="61912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1600200" cy="61912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2609850" cy="61912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38100</xdr:rowOff>
    </xdr:from>
    <xdr:ext cx="1695450" cy="61912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scrumalliance.org/community/articles/2007/march/glossary-of-scrum-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mc:Ignorable="x14ac xr xr2 xr3" xr:uid="{00000000-0001-0000-0000-000000000000}">
  <sheetPr>
    <tabColor theme="9" tint="0.59996337778862885"/>
  </sheetPr>
  <dimension ref="B2:N35"/>
  <sheetViews>
    <sheetView showGridLines="0" tabSelected="1" workbookViewId="0">
      <selection activeCell="E7" sqref="E7"/>
    </sheetView>
  </sheetViews>
  <sheetFormatPr defaultColWidth="8.77734375" defaultRowHeight="13.8" ns3:dyDescent="0.3"/>
  <cols>
    <col min="1" max="1" width="5.109375" style="37" customWidth="1"/>
    <col min="2" max="2" width="15" style="37" customWidth="1"/>
    <col min="3" max="3" width="24.88671875" style="37" customWidth="1"/>
    <col min="4" max="4" width="25.88671875" style="37" customWidth="1"/>
    <col min="5" max="5" width="25" style="37" customWidth="1"/>
    <col min="6" max="6" width="26.44140625" style="37" customWidth="1"/>
    <col min="7" max="8" width="8.77734375" style="37" customWidth="1"/>
    <col min="9" max="10" width="12.6640625" style="37" customWidth="1"/>
    <col min="11" max="11" width="13.6640625" style="37" customWidth="1"/>
    <col min="12" max="13" width="12.5546875" style="37" customWidth="1"/>
    <col min="14" max="14" width="31.88671875" style="37" customWidth="1"/>
    <col min="15" max="15" width="8.77734375" style="37" customWidth="1"/>
    <col min="16" max="16384" width="8.77734375" style="37"/>
  </cols>
  <sheetData>
    <row r="2" spans="2:13" ht="58.8" customHeight="1" ns3:dyDescent="0.3"/>
    <row r="3" spans="2:13" ht="19.8" customHeight="1" ns3:dyDescent="0.3">
      <c r="B3" s="98" t="s">
        <v>2</v>
      </c>
    </row>
    <row r="4" spans="2:13" ht="16.2" customHeight="1" ns3:dyDescent="0.3">
      <c r="B4" s="101" t="s">
        <v>5</v>
      </c>
      <c r="C4" s="76" t="s">
        <v>0</v>
      </c>
    </row>
    <row r="5" spans="2:13" ns3:dyDescent="0.3">
      <c r="B5" s="101" t="s">
        <v>6</v>
      </c>
      <c r="C5" s="76" t="s">
        <v>1</v>
      </c>
    </row>
    <row r="6" spans="2:13" ns3:dyDescent="0.3">
      <c r="B6" s="96"/>
      <c r="C6" s="97"/>
    </row>
    <row r="7" spans="2:13" ht="14.25" customHeight="1" ns3:dyDescent="0.3">
      <c r="B7" s="99" t="s">
        <v>9</v>
      </c>
      <c r="C7" s="100"/>
      <c r="D7" s="96"/>
      <c r="E7" s="56" t="s">
        <v>11</v>
      </c>
      <c r="F7" s="57" t="s">
        <v>411</v>
      </c>
    </row>
    <row r="8" spans="2:13" ht="27.6" ns3:dyDescent="0.3">
      <c r="B8" s="56" t="s">
        <v>12</v>
      </c>
      <c r="C8" s="57" t="s">
        <v>3</v>
      </c>
      <c r="D8" s="96"/>
      <c r="E8" s="56" t="s">
        <v>14</v>
      </c>
      <c r="F8" s="57" t="s">
        <v>4</v>
      </c>
    </row>
    <row r="9" spans="2:13" ht="27.6" ns3:dyDescent="0.3">
      <c r="B9" s="56" t="s">
        <v>15</v>
      </c>
      <c r="C9" s="57" t="s">
        <v>3</v>
      </c>
      <c r="D9" s="96"/>
      <c r="E9" s="104"/>
      <c r="F9" s="57" t="s">
        <v>16</v>
      </c>
      <c r="G9" s="76" t="s">
        <v>17</v>
      </c>
      <c r="H9" s="76" t="s">
        <v>18</v>
      </c>
      <c r="I9" s="76" t="s">
        <v>19</v>
      </c>
      <c r="J9" s="76" t="s">
        <v>20</v>
      </c>
      <c r="K9" s="76" t="s">
        <v>21</v>
      </c>
      <c r="L9" s="76" t="s">
        <v>22</v>
      </c>
      <c r="M9" s="76" t="s">
        <v>23</v>
      </c>
    </row>
    <row r="10" spans="2:13" ht="41.4" ns3:dyDescent="0.3">
      <c r="B10" s="102"/>
      <c r="C10" s="57" t="s">
        <v>7</v>
      </c>
      <c r="D10" s="97"/>
      <c r="E10" s="105"/>
      <c r="F10" s="57"/>
      <c r="G10" s="76">
        <v>1</v>
      </c>
      <c r="H10" s="76" t="s">
        <v>27</v>
      </c>
      <c r="I10" s="76" t="s">
        <v>28</v>
      </c>
      <c r="J10" s="76" t="s">
        <v>29</v>
      </c>
      <c r="K10" s="76"/>
      <c r="L10" s="76"/>
      <c r="M10" s="76" t="s">
        <v>30</v>
      </c>
    </row>
    <row r="11" spans="2:13" ht="70" ns3:dyDescent="0.3" customHeight="1">
      <c r="B11" s="103"/>
      <c r="C11" s="57" t="s">
        <v>8</v>
      </c>
      <c r="D11" s="96"/>
      <c r="E11" s="103"/>
      <c r="F11" s="44"/>
      <c r="G11" s="76">
        <v>2</v>
      </c>
      <c r="H11" s="76" t="s">
        <v>31</v>
      </c>
      <c r="I11" s="76" t="s">
        <v>32</v>
      </c>
      <c r="J11" s="76" t="s">
        <v>29</v>
      </c>
      <c r="K11" s="182" t="n">
        <f>'Sprint 2 Backlog'!G38</f>
        <v>232</v>
      </c>
      <c r="L11" s="76"/>
      <c r="M11" s="243" t="inlineStr">
        <is>
          <t>Proposed plan; see Sprint 2 Reports.</t>
        </is>
      </c>
    </row>
    <row r="12" spans="2:13" ht="55.2" ns3:dyDescent="0.3">
      <c r="B12" s="103"/>
      <c r="C12" s="57" t="s">
        <v>10</v>
      </c>
      <c r="D12" s="96"/>
      <c r="E12" s="103"/>
      <c r="F12" s="44"/>
      <c r="G12" s="76">
        <v>3</v>
      </c>
      <c r="H12" s="76" t="s">
        <v>34</v>
      </c>
      <c r="I12" s="76" t="s">
        <v>35</v>
      </c>
      <c r="J12" s="76" t="s">
        <v>29</v>
      </c>
      <c r="K12" s="76"/>
      <c r="L12" s="76"/>
      <c r="M12" s="76" t="s">
        <v>36</v>
      </c>
    </row>
    <row r="13" spans="2:13" ht="55.2" ns3:dyDescent="0.3">
      <c r="B13" s="103"/>
      <c r="C13" s="57" t="s">
        <v>13</v>
      </c>
      <c r="D13" s="96"/>
      <c r="E13" s="103"/>
      <c r="F13" s="44"/>
      <c r="G13" s="76">
        <v>4</v>
      </c>
      <c r="H13" s="76" t="s">
        <v>37</v>
      </c>
      <c r="I13" s="76" t="s">
        <v>38</v>
      </c>
      <c r="J13" s="76" t="s">
        <v>29</v>
      </c>
      <c r="K13" s="76"/>
      <c r="L13" s="76"/>
      <c r="M13" s="76" t="s">
        <v>39</v>
      </c>
    </row>
    <row r="14" spans="2:13" ns3:dyDescent="0.3">
      <c r="B14" s="103"/>
      <c r="C14" s="44"/>
      <c r="D14" s="96"/>
      <c r="E14" s="103"/>
      <c r="F14" s="44"/>
      <c r="G14" s="44"/>
      <c r="H14" s="44"/>
      <c r="I14" s="44"/>
      <c r="J14" s="44"/>
      <c r="K14" s="44"/>
      <c r="L14" s="44"/>
      <c r="M14" s="44"/>
    </row>
    <row r="15" spans="2:13" ns3:dyDescent="0.3">
      <c r="B15" s="103"/>
      <c r="C15" s="44"/>
      <c r="D15" s="96"/>
      <c r="E15" s="103"/>
      <c r="F15" s="44"/>
      <c r="G15" s="44"/>
      <c r="H15" s="44"/>
      <c r="I15" s="44"/>
      <c r="J15" s="44"/>
      <c r="K15" s="44"/>
      <c r="L15" s="44"/>
      <c r="M15" s="44"/>
    </row>
    <row r="18" spans="2:14" ht="14.25" customHeight="1" ns3:dyDescent="0.3">
      <c r="B18" s="58" t="s">
        <v>40</v>
      </c>
      <c r="H18" s="58" t="s">
        <v>41</v>
      </c>
      <c r="J18" s="59" t="s">
        <v>42</v>
      </c>
    </row>
    <row r="19" spans="2:14" ht="26.25" customHeight="1" ns3:dyDescent="0.3">
      <c r="B19" s="60" t="s">
        <v>43</v>
      </c>
      <c r="C19" s="60" t="s">
        <v>44</v>
      </c>
      <c r="D19" s="60" t="s">
        <v>18</v>
      </c>
      <c r="E19" s="60" t="s">
        <v>19</v>
      </c>
      <c r="F19" s="60" t="s">
        <v>20</v>
      </c>
      <c r="G19" s="39"/>
      <c r="H19" s="61" t="s">
        <v>17</v>
      </c>
      <c r="I19" s="61" t="s">
        <v>18</v>
      </c>
      <c r="J19" s="61" t="s">
        <v>19</v>
      </c>
      <c r="K19" s="61" t="s">
        <v>20</v>
      </c>
      <c r="L19" s="61" t="s">
        <v>21</v>
      </c>
      <c r="M19" s="61" t="s">
        <v>22</v>
      </c>
      <c r="N19" s="61" t="s">
        <v>23</v>
      </c>
    </row>
    <row r="20" spans="2:14" ht="27.6" ns3:dyDescent="0.3">
      <c r="B20" s="55" t="s">
        <v>24</v>
      </c>
      <c r="C20" s="55" t="s">
        <v>25</v>
      </c>
      <c r="D20" s="62">
        <v>46257</v>
      </c>
      <c r="E20" s="62">
        <v>46369</v>
      </c>
      <c r="F20" s="55" t="s">
        <v>26</v>
      </c>
      <c r="H20" s="63" t="s">
        <v>45</v>
      </c>
      <c r="I20" s="40"/>
      <c r="J20" s="40"/>
      <c r="K20" s="55" t="s">
        <v>29</v>
      </c>
      <c r="L20" s="55">
        <v>194</v>
      </c>
      <c r="M20" s="41"/>
      <c r="N20" s="55" t="s">
        <v>46</v>
      </c>
    </row>
    <row r="21" spans="2:14" s="43" customFormat="1" ns3:dyDescent="0.3" ht="90" customHeight="1">
      <c r="B21" s="38"/>
      <c r="C21" s="38"/>
      <c r="D21" s="41"/>
      <c r="E21" s="41"/>
      <c r="F21" s="41"/>
      <c r="G21" s="37"/>
      <c r="H21" s="63" t="s">
        <v>47</v>
      </c>
      <c r="I21" s="40"/>
      <c r="J21" s="40"/>
      <c r="K21" s="55" t="s">
        <v>29</v>
      </c>
      <c r="L21" s="161" t="n">
        <f>'Sprint 2 Backlog'!G38</f>
        <v>232</v>
      </c>
      <c r="M21" s="41"/>
      <c r="N21" s="242" t="inlineStr">
        <is>
          <t>Proposed 232 task hours; reserve 32h; resource need 264h. Actual capacity pending. PostgreSQL accepted by user; see Sprint 2 Reports.</t>
        </is>
      </c>
    </row>
    <row r="22" spans="2:14" ht="27.6" ns3:dyDescent="0.3">
      <c r="B22" s="38"/>
      <c r="C22" s="38"/>
      <c r="D22" s="41"/>
      <c r="E22" s="41"/>
      <c r="F22" s="41"/>
      <c r="H22" s="63" t="s">
        <v>49</v>
      </c>
      <c r="I22" s="64">
        <f>J21+3</f>
        <v>3</v>
      </c>
      <c r="J22" s="64">
        <f>I22+11</f>
        <v>14</v>
      </c>
      <c r="K22" s="55" t="s">
        <v>29</v>
      </c>
      <c r="L22" s="41"/>
      <c r="M22" s="41"/>
      <c r="N22" s="55" t="s">
        <v>50</v>
      </c>
    </row>
    <row r="23" spans="2:14" ns3:dyDescent="0.3">
      <c r="B23" s="38"/>
      <c r="C23" s="38"/>
      <c r="D23" s="41"/>
      <c r="E23" s="41"/>
      <c r="F23" s="41"/>
      <c r="H23" s="63" t="s">
        <v>51</v>
      </c>
      <c r="I23" s="64">
        <f>J22+3</f>
        <v>17</v>
      </c>
      <c r="J23" s="64">
        <f>I23+11</f>
        <v>28</v>
      </c>
      <c r="K23" s="55" t="s">
        <v>29</v>
      </c>
      <c r="L23" s="41"/>
      <c r="M23" s="41"/>
      <c r="N23" s="55" t="s">
        <v>52</v>
      </c>
    </row>
    <row r="24" spans="2:14" ns3:dyDescent="0.3">
      <c r="B24" s="38"/>
      <c r="C24" s="38"/>
      <c r="D24" s="41"/>
      <c r="E24" s="41"/>
      <c r="F24" s="41"/>
      <c r="H24" s="42"/>
      <c r="I24" s="64">
        <f>J23+3</f>
        <v>31</v>
      </c>
      <c r="J24" s="64">
        <f>I24+11</f>
        <v>42</v>
      </c>
      <c r="K24" s="41"/>
      <c r="L24" s="41"/>
      <c r="M24" s="41"/>
      <c r="N24" s="41"/>
    </row>
    <row r="25" spans="2:14" ns3:dyDescent="0.3">
      <c r="B25" s="38"/>
      <c r="C25" s="38"/>
      <c r="D25" s="41"/>
      <c r="E25" s="41"/>
      <c r="F25" s="41"/>
      <c r="H25" s="38"/>
      <c r="I25" s="40"/>
      <c r="J25" s="40"/>
      <c r="K25" s="41"/>
      <c r="L25" s="41"/>
      <c r="M25" s="41"/>
      <c r="N25" s="41"/>
    </row>
    <row r="26" spans="2:14" ns3:dyDescent="0.3">
      <c r="B26" s="38"/>
      <c r="C26" s="38"/>
      <c r="D26" s="41"/>
      <c r="E26" s="41"/>
      <c r="F26" s="41"/>
      <c r="H26" s="38"/>
      <c r="I26" s="40"/>
      <c r="J26" s="40"/>
      <c r="K26" s="41"/>
      <c r="L26" s="41"/>
      <c r="M26" s="41"/>
      <c r="N26" s="41"/>
    </row>
    <row r="27" spans="2:14" ns3:dyDescent="0.3">
      <c r="B27" s="38"/>
      <c r="C27" s="38"/>
      <c r="D27" s="41"/>
      <c r="E27" s="41"/>
      <c r="F27" s="41"/>
      <c r="H27" s="38"/>
      <c r="I27" s="40"/>
      <c r="J27" s="40"/>
      <c r="K27" s="41"/>
      <c r="L27" s="41"/>
      <c r="M27" s="41"/>
      <c r="N27" s="41"/>
    </row>
    <row r="28" spans="2:14" ns3:dyDescent="0.3">
      <c r="B28" s="38"/>
      <c r="C28" s="38"/>
      <c r="D28" s="41"/>
      <c r="E28" s="41"/>
      <c r="F28" s="41"/>
      <c r="H28" s="38"/>
      <c r="I28" s="40"/>
      <c r="J28" s="40"/>
      <c r="K28" s="41"/>
      <c r="L28" s="41"/>
      <c r="M28" s="41"/>
      <c r="N28" s="41"/>
    </row>
    <row r="29" spans="2:14" ns3:dyDescent="0.3">
      <c r="B29" s="38"/>
      <c r="C29" s="38"/>
      <c r="D29" s="41"/>
      <c r="E29" s="41"/>
      <c r="F29" s="41"/>
      <c r="H29" s="38"/>
      <c r="I29" s="40"/>
      <c r="J29" s="40"/>
      <c r="K29" s="41"/>
      <c r="L29" s="41"/>
      <c r="M29" s="41"/>
      <c r="N29" s="41"/>
    </row>
    <row r="30" spans="2:14" ns3:dyDescent="0.3">
      <c r="B30" s="38"/>
      <c r="C30" s="38"/>
      <c r="D30" s="41"/>
      <c r="E30" s="41"/>
      <c r="F30" s="41"/>
      <c r="H30" s="38"/>
      <c r="I30" s="40"/>
      <c r="J30" s="40"/>
      <c r="K30" s="41"/>
      <c r="L30" s="41"/>
      <c r="M30" s="41"/>
      <c r="N30" s="41"/>
    </row>
    <row r="31" spans="2:14" ns3:dyDescent="0.3">
      <c r="B31" s="38"/>
      <c r="C31" s="38"/>
      <c r="D31" s="41"/>
      <c r="E31" s="41"/>
      <c r="F31" s="41"/>
      <c r="H31" s="38"/>
      <c r="I31" s="40"/>
      <c r="J31" s="40"/>
      <c r="K31" s="41"/>
      <c r="L31" s="41"/>
      <c r="M31" s="41"/>
      <c r="N31" s="41"/>
    </row>
    <row r="32" spans="2:14" ns3:dyDescent="0.3">
      <c r="B32" s="38"/>
      <c r="C32" s="38"/>
      <c r="D32" s="41"/>
      <c r="E32" s="41"/>
      <c r="F32" s="41"/>
      <c r="H32" s="38"/>
      <c r="I32" s="40"/>
      <c r="J32" s="40"/>
      <c r="K32" s="41"/>
      <c r="L32" s="41"/>
      <c r="M32" s="41"/>
      <c r="N32" s="41"/>
    </row>
    <row r="33" spans="2:14" ns3:dyDescent="0.3">
      <c r="B33" s="38"/>
      <c r="C33" s="38"/>
      <c r="D33" s="41"/>
      <c r="E33" s="41"/>
      <c r="F33" s="41"/>
      <c r="H33" s="38"/>
      <c r="I33" s="40"/>
      <c r="J33" s="40"/>
      <c r="K33" s="41"/>
      <c r="L33" s="41"/>
      <c r="M33" s="41"/>
      <c r="N33" s="41"/>
    </row>
    <row r="34" spans="2:14" ns3:dyDescent="0.3">
      <c r="B34" s="38"/>
      <c r="C34" s="38"/>
      <c r="D34" s="38"/>
      <c r="E34" s="38"/>
      <c r="F34" s="41"/>
      <c r="H34" s="38"/>
      <c r="I34" s="40"/>
      <c r="J34" s="40"/>
      <c r="K34" s="41"/>
      <c r="L34" s="41"/>
      <c r="M34" s="41"/>
      <c r="N34" s="41"/>
    </row>
    <row r="35" spans="2:14" ns3:dyDescent="0.3">
      <c r="B35" s="38"/>
      <c r="C35" s="38"/>
      <c r="D35" s="38"/>
      <c r="E35" s="38"/>
      <c r="F35" s="41"/>
      <c r="H35" s="38"/>
      <c r="I35" s="40"/>
      <c r="J35" s="40"/>
      <c r="K35" s="41"/>
      <c r="L35" s="41"/>
      <c r="M35" s="41"/>
      <c r="N35" s="41"/>
    </row>
  </sheetData>
  <pageMargins left="0.7" right="0.7" top="0.75" bottom="0.75" header="0.3" footer="0.3"/>
  <pageSetup orientation="portrait" ns4:id="rId1"/>
  <drawing ns4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mc:Ignorable="x14ac xr xr2 xr3" xr:uid="{00000000-0001-0000-0100-000000000000}">
  <sheetPr>
    <tabColor rgb="FF9CC2E5"/>
  </sheetPr>
  <dimension ref="A1:Z1001"/>
  <sheetViews>
    <sheetView showGridLines="0" workbookViewId="0">
      <pane xSplit="3" ySplit="7" topLeftCell="F20" activePane="bottomRight" state="frozen"/>
      <selection pane="topRight"/>
      <selection pane="bottomLeft"/>
      <selection pane="bottomRight" activeCell="N30" sqref="N30"/>
    </sheetView>
  </sheetViews>
  <sheetFormatPr defaultColWidth="14.44140625" defaultRowHeight="13.8" ns3:dyDescent="0.3"/>
  <cols>
    <col min="1" max="1" width="3.109375" customWidth="1"/>
    <col min="2" max="2" width="11.6640625" customWidth="1"/>
    <col min="3" max="3" width="22.44140625" customWidth="1"/>
    <col min="4" max="4" width="42" customWidth="1"/>
    <col min="5" max="5" width="25" customWidth="1"/>
    <col min="6" max="6" width="40" customWidth="1"/>
    <col min="7" max="7" width="45.88671875" style="29" customWidth="1"/>
    <col min="8" max="8" width="21.6640625" hidden="1" customWidth="1"/>
    <col min="9" max="9" width="11.33203125" customWidth="1"/>
    <col min="10" max="10" width="11.33203125" hidden="1" customWidth="1"/>
    <col min="11" max="12" width="8.6640625" hidden="1" customWidth="1"/>
    <col min="13" max="13" width="8.6640625" customWidth="1"/>
    <col min="14" max="14" width="14.33203125" customWidth="1"/>
    <col min="15" max="15" width="14.33203125" hidden="1" customWidth="1"/>
    <col min="16" max="16" width="12" hidden="1" customWidth="1"/>
    <col min="17" max="17" width="8.6640625" hidden="1" customWidth="1"/>
    <col min="18" max="18" width="40.109375" customWidth="1"/>
    <col min="19" max="26" width="8.6640625" customWidth="1"/>
  </cols>
  <sheetData>
    <row r="1" spans="1:26" ht="13.5" customHeight="1" ns3:dyDescent="0.3">
      <c r="E1" s="1"/>
      <c r="F1" s="1"/>
      <c r="G1" s="28"/>
      <c r="H1" s="1"/>
    </row>
    <row r="2" spans="1:26" ht="13.5" customHeight="1" ns3:dyDescent="0.3">
      <c r="E2" s="1"/>
      <c r="F2" s="1"/>
      <c r="G2" s="28"/>
      <c r="H2" s="1"/>
    </row>
    <row r="3" spans="1:26" ht="13.5" customHeight="1" ns3:dyDescent="0.3">
      <c r="E3" s="1"/>
      <c r="F3" s="1"/>
      <c r="G3" s="28"/>
      <c r="H3" s="1"/>
      <c r="M3" s="81"/>
    </row>
    <row r="4" spans="1:26" ht="13.5" customHeight="1" ns3:dyDescent="0.3">
      <c r="E4" s="1"/>
      <c r="F4" s="1"/>
      <c r="G4" s="28"/>
      <c r="H4" s="1"/>
      <c r="J4" s="78"/>
      <c r="M4" s="79"/>
    </row>
    <row r="5" spans="1:26" ht="21" customHeight="1" ns3:dyDescent="0.3">
      <c r="B5" s="65" t="s">
        <v>53</v>
      </c>
      <c r="E5" s="1"/>
      <c r="F5" s="1"/>
      <c r="G5" s="28"/>
      <c r="H5" s="1"/>
      <c r="J5" s="79"/>
      <c r="M5" s="79"/>
      <c r="O5" s="78"/>
    </row>
    <row r="6" spans="1:26" ht="13.5" customHeight="1" ns3:dyDescent="0.3">
      <c r="E6" s="1"/>
      <c r="F6" s="1"/>
      <c r="G6" s="28"/>
      <c r="H6" s="1"/>
      <c r="J6" s="80"/>
      <c r="M6" s="80"/>
      <c r="O6" s="80"/>
    </row>
    <row r="7" spans="1:26" ht="13.5" customHeight="1" ns3:dyDescent="0.3">
      <c r="A7" s="27"/>
      <c r="B7" s="66" t="s">
        <v>43</v>
      </c>
      <c r="C7" s="66" t="s">
        <v>54</v>
      </c>
      <c r="D7" s="66" t="s">
        <v>55</v>
      </c>
      <c r="E7" s="66" t="s">
        <v>56</v>
      </c>
      <c r="F7" s="66" t="s">
        <v>57</v>
      </c>
      <c r="G7" s="67" t="s">
        <v>58</v>
      </c>
      <c r="H7" s="66" t="s">
        <v>23</v>
      </c>
      <c r="I7" s="66" t="s">
        <v>59</v>
      </c>
      <c r="J7" s="66" t="s">
        <v>20</v>
      </c>
      <c r="K7" s="66" t="s">
        <v>60</v>
      </c>
      <c r="L7" s="66" t="s">
        <v>61</v>
      </c>
      <c r="M7" s="66" t="s">
        <v>62</v>
      </c>
      <c r="N7" s="66" t="s">
        <v>63</v>
      </c>
      <c r="O7" s="66" t="s">
        <v>64</v>
      </c>
      <c r="P7" s="66" t="s">
        <v>65</v>
      </c>
      <c r="Q7" s="66" t="s">
        <v>20</v>
      </c>
      <c r="R7" s="66" t="s">
        <v>23</v>
      </c>
      <c r="S7" s="27"/>
      <c r="T7" s="27"/>
      <c r="U7" s="27"/>
      <c r="V7" s="27"/>
      <c r="W7" s="27"/>
      <c r="X7" s="27"/>
      <c r="Y7" s="27"/>
      <c r="Z7" s="27"/>
    </row>
    <row r="8" spans="1:26" s="30" customFormat="1" ht="58.95" customHeight="1" ns3:dyDescent="0.25">
      <c r="B8" s="49" t="s">
        <v>66</v>
      </c>
      <c r="C8" s="49" t="s">
        <v>67</v>
      </c>
      <c r="D8" s="49" t="s">
        <v>68</v>
      </c>
      <c r="E8" s="49" t="s">
        <v>69</v>
      </c>
      <c r="F8" s="49" t="s">
        <v>70</v>
      </c>
      <c r="G8" s="49" t="s">
        <v>71</v>
      </c>
      <c r="H8" s="49" t="s">
        <v>72</v>
      </c>
      <c r="I8" s="49">
        <v>1</v>
      </c>
      <c r="J8" s="49" t="s">
        <v>73</v>
      </c>
      <c r="K8" s="49" t="s">
        <v>74</v>
      </c>
      <c r="L8" s="49" t="s">
        <v>0</v>
      </c>
      <c r="M8" s="49">
        <v>1</v>
      </c>
      <c r="N8" s="49">
        <v>15</v>
      </c>
      <c r="O8" s="49" t="s">
        <v>3</v>
      </c>
      <c r="P8" s="49"/>
      <c r="Q8" s="49"/>
      <c r="R8" s="49" t="s">
        <v>75</v>
      </c>
    </row>
    <row r="9" spans="1:26" s="32" customFormat="1" ht="58.95" customHeight="1" ns3:dyDescent="0.25">
      <c r="B9" s="49" t="s">
        <v>76</v>
      </c>
      <c r="C9" s="49" t="s">
        <v>77</v>
      </c>
      <c r="D9" s="49" t="s">
        <v>68</v>
      </c>
      <c r="E9" s="49" t="s">
        <v>78</v>
      </c>
      <c r="F9" s="49" t="s">
        <v>79</v>
      </c>
      <c r="G9" s="49" t="s">
        <v>80</v>
      </c>
      <c r="H9" s="49" t="s">
        <v>81</v>
      </c>
      <c r="I9" s="49">
        <v>1</v>
      </c>
      <c r="J9" s="49" t="s">
        <v>73</v>
      </c>
      <c r="K9" s="49" t="s">
        <v>74</v>
      </c>
      <c r="L9" s="49" t="s">
        <v>0</v>
      </c>
      <c r="M9" s="49">
        <v>1</v>
      </c>
      <c r="N9" s="49">
        <v>15</v>
      </c>
      <c r="O9" s="49" t="s">
        <v>10</v>
      </c>
      <c r="P9" s="49"/>
      <c r="Q9" s="49"/>
      <c r="R9" s="49" t="s">
        <v>75</v>
      </c>
    </row>
    <row r="10" spans="1:26" s="32" customFormat="1" ht="92" customHeight="1" ns3:dyDescent="0.25">
      <c r="B10" s="49" t="s">
        <v>82</v>
      </c>
      <c r="C10" s="49" t="s">
        <v>83</v>
      </c>
      <c r="D10" s="49" t="s">
        <v>84</v>
      </c>
      <c r="E10" s="49" t="s">
        <v>85</v>
      </c>
      <c r="F10" s="49" t="s">
        <v>86</v>
      </c>
      <c r="G10" s="49" t="s">
        <v>87</v>
      </c>
      <c r="H10" s="49" t="s">
        <v>88</v>
      </c>
      <c r="I10" s="49">
        <v>1</v>
      </c>
      <c r="J10" s="49" t="s">
        <v>73</v>
      </c>
      <c r="K10" s="49" t="s">
        <v>74</v>
      </c>
      <c r="L10" s="49" t="s">
        <v>0</v>
      </c>
      <c r="M10" s="49">
        <v>1</v>
      </c>
      <c r="N10" s="49">
        <v>20</v>
      </c>
      <c r="O10" s="49" t="s">
        <v>7</v>
      </c>
      <c r="P10" s="49"/>
      <c r="Q10" s="49"/>
      <c r="R10" s="247" t="inlineStr">
        <is>
          <t>Initial estimate
Sprint 2 proposed: 2.15 snapshot prerequisite. PB scope/estimate retained; task hours differ.</t>
        </is>
      </c>
    </row>
    <row r="11" spans="1:26" s="32" customFormat="1" ht="92" customHeight="1" ns3:dyDescent="0.25">
      <c r="B11" s="49" t="s">
        <v>89</v>
      </c>
      <c r="C11" s="49" t="s">
        <v>90</v>
      </c>
      <c r="D11" s="49" t="s">
        <v>84</v>
      </c>
      <c r="E11" s="49" t="s">
        <v>91</v>
      </c>
      <c r="F11" s="49" t="s">
        <v>92</v>
      </c>
      <c r="G11" s="49" t="s">
        <v>93</v>
      </c>
      <c r="H11" s="49" t="s">
        <v>94</v>
      </c>
      <c r="I11" s="49">
        <v>1</v>
      </c>
      <c r="J11" s="49" t="s">
        <v>73</v>
      </c>
      <c r="K11" s="49" t="s">
        <v>74</v>
      </c>
      <c r="L11" s="49" t="s">
        <v>0</v>
      </c>
      <c r="M11" s="49">
        <v>1</v>
      </c>
      <c r="N11" s="49">
        <v>15</v>
      </c>
      <c r="O11" s="49" t="s">
        <v>3</v>
      </c>
      <c r="P11" s="49"/>
      <c r="Q11" s="49"/>
      <c r="R11" s="247" t="inlineStr">
        <is>
          <t>Initial estimate
Sprint 2 proposed: 2.13/2.14; 2.20 foundation support. PB scope/estimate retained; task hours differ.</t>
        </is>
      </c>
    </row>
    <row r="12" spans="1:26" s="32" customFormat="1" ht="92" customHeight="1" ns3:dyDescent="0.25">
      <c r="B12" s="49" t="s">
        <v>95</v>
      </c>
      <c r="C12" s="49" t="s">
        <v>96</v>
      </c>
      <c r="D12" s="49" t="s">
        <v>84</v>
      </c>
      <c r="E12" s="49" t="s">
        <v>97</v>
      </c>
      <c r="F12" s="49" t="s">
        <v>98</v>
      </c>
      <c r="G12" s="49" t="s">
        <v>99</v>
      </c>
      <c r="H12" s="49" t="s">
        <v>100</v>
      </c>
      <c r="I12" s="49">
        <v>1</v>
      </c>
      <c r="J12" s="49" t="s">
        <v>73</v>
      </c>
      <c r="K12" s="49" t="s">
        <v>74</v>
      </c>
      <c r="L12" s="49" t="s">
        <v>0</v>
      </c>
      <c r="M12" s="49">
        <v>2</v>
      </c>
      <c r="N12" s="49">
        <v>25</v>
      </c>
      <c r="O12" s="49" t="s">
        <v>7</v>
      </c>
      <c r="P12" s="49"/>
      <c r="Q12" s="49"/>
      <c r="R12" s="247" t="inlineStr">
        <is>
          <t>Initial estimate
Sprint 2 proposed: 2.01/2.02; 2.14/2.15/2.18 support. PB scope/estimate retained; task hours differ.</t>
        </is>
      </c>
    </row>
    <row r="13" spans="1:26" s="32" customFormat="1" ht="92" customHeight="1" ns3:dyDescent="0.25">
      <c r="B13" s="49" t="s">
        <v>101</v>
      </c>
      <c r="C13" s="49" t="s">
        <v>102</v>
      </c>
      <c r="D13" s="49" t="s">
        <v>84</v>
      </c>
      <c r="E13" s="50" t="s">
        <v>103</v>
      </c>
      <c r="F13" s="50" t="s">
        <v>104</v>
      </c>
      <c r="G13" s="49" t="s">
        <v>105</v>
      </c>
      <c r="H13" s="49" t="s">
        <v>106</v>
      </c>
      <c r="I13" s="49">
        <v>1</v>
      </c>
      <c r="J13" s="49" t="s">
        <v>73</v>
      </c>
      <c r="K13" s="49" t="s">
        <v>74</v>
      </c>
      <c r="L13" s="49" t="s">
        <v>0</v>
      </c>
      <c r="M13" s="49">
        <v>2</v>
      </c>
      <c r="N13" s="49">
        <v>35</v>
      </c>
      <c r="O13" s="49" t="s">
        <v>8</v>
      </c>
      <c r="P13" s="49"/>
      <c r="Q13" s="49"/>
      <c r="R13" s="247" t="inlineStr">
        <is>
          <t>Initial estimate
Sprint 2 proposed: 2.03–2.05; 2.14/2.16/2.17/2.20 support. PB scope/estimate retained; task hours differ.</t>
        </is>
      </c>
    </row>
    <row r="14" spans="1:26" s="32" customFormat="1" ht="92" customHeight="1" ns3:dyDescent="0.25">
      <c r="B14" s="49" t="s">
        <v>107</v>
      </c>
      <c r="C14" s="49" t="s">
        <v>108</v>
      </c>
      <c r="D14" s="49" t="s">
        <v>84</v>
      </c>
      <c r="E14" s="49" t="s">
        <v>109</v>
      </c>
      <c r="F14" s="50" t="s">
        <v>110</v>
      </c>
      <c r="G14" s="49" t="s">
        <v>111</v>
      </c>
      <c r="H14" s="49" t="s">
        <v>112</v>
      </c>
      <c r="I14" s="49">
        <v>1</v>
      </c>
      <c r="J14" s="49" t="s">
        <v>73</v>
      </c>
      <c r="K14" s="49" t="s">
        <v>74</v>
      </c>
      <c r="L14" s="49" t="s">
        <v>0</v>
      </c>
      <c r="M14" s="49">
        <v>2</v>
      </c>
      <c r="N14" s="49">
        <v>25</v>
      </c>
      <c r="O14" s="49" t="s">
        <v>8</v>
      </c>
      <c r="P14" s="49"/>
      <c r="Q14" s="49"/>
      <c r="R14" s="247" t="inlineStr">
        <is>
          <t>Refine in Sprint 2
Sprint 2 proposed: 2.06; 2.14/2.17/2.18 support. PB scope/estimate retained; task hours differ.</t>
        </is>
      </c>
    </row>
    <row r="15" spans="1:26" s="32" customFormat="1" ht="92" customHeight="1" ns3:dyDescent="0.25">
      <c r="B15" s="49" t="s">
        <v>114</v>
      </c>
      <c r="C15" s="49" t="s">
        <v>115</v>
      </c>
      <c r="D15" s="49" t="s">
        <v>84</v>
      </c>
      <c r="E15" s="50" t="s">
        <v>116</v>
      </c>
      <c r="F15" s="50" t="s">
        <v>117</v>
      </c>
      <c r="G15" s="49" t="s">
        <v>118</v>
      </c>
      <c r="H15" s="49" t="s">
        <v>119</v>
      </c>
      <c r="I15" s="49">
        <v>2</v>
      </c>
      <c r="J15" s="49" t="s">
        <v>73</v>
      </c>
      <c r="K15" s="49" t="s">
        <v>74</v>
      </c>
      <c r="L15" s="49" t="s">
        <v>0</v>
      </c>
      <c r="M15" s="49">
        <v>2</v>
      </c>
      <c r="N15" s="49">
        <v>20</v>
      </c>
      <c r="O15" s="49" t="s">
        <v>13</v>
      </c>
      <c r="P15" s="49"/>
      <c r="Q15" s="49"/>
      <c r="R15" s="247" t="inlineStr">
        <is>
          <t>Refine in Sprint 2
Sprint 2 proposed: 2.07. PB scope/estimate retained; task hours differ.</t>
        </is>
      </c>
    </row>
    <row r="16" spans="1:26" s="32" customFormat="1" ht="92" customHeight="1" ns3:dyDescent="0.25">
      <c r="B16" s="49" t="s">
        <v>120</v>
      </c>
      <c r="C16" s="49" t="s">
        <v>121</v>
      </c>
      <c r="D16" s="49" t="s">
        <v>122</v>
      </c>
      <c r="E16" s="50" t="s">
        <v>123</v>
      </c>
      <c r="F16" s="50" t="s">
        <v>124</v>
      </c>
      <c r="G16" s="49" t="s">
        <v>125</v>
      </c>
      <c r="H16" s="49" t="s">
        <v>126</v>
      </c>
      <c r="I16" s="49">
        <v>1</v>
      </c>
      <c r="J16" s="49" t="s">
        <v>73</v>
      </c>
      <c r="K16" s="49" t="s">
        <v>74</v>
      </c>
      <c r="L16" s="49" t="s">
        <v>0</v>
      </c>
      <c r="M16" s="49">
        <v>2</v>
      </c>
      <c r="N16" s="49">
        <v>25</v>
      </c>
      <c r="O16" s="49" t="s">
        <v>10</v>
      </c>
      <c r="P16" s="49"/>
      <c r="Q16" s="49"/>
      <c r="R16" s="247" t="inlineStr">
        <is>
          <t>Refine in Sprint 2
Sprint 2 proposed: 2.08/2.09; 2.14/2.16/2.17/2.20 support. PB scope/estimate retained; task hours differ.</t>
        </is>
      </c>
    </row>
    <row r="17" spans="2:18" s="32" customFormat="1" ht="58.95" customHeight="1" ns3:dyDescent="0.25">
      <c r="B17" s="49" t="s">
        <v>127</v>
      </c>
      <c r="C17" s="49" t="s">
        <v>128</v>
      </c>
      <c r="D17" s="49" t="s">
        <v>122</v>
      </c>
      <c r="E17" s="50" t="s">
        <v>129</v>
      </c>
      <c r="F17" s="50" t="s">
        <v>130</v>
      </c>
      <c r="G17" s="49" t="s">
        <v>131</v>
      </c>
      <c r="H17" s="49" t="s">
        <v>132</v>
      </c>
      <c r="I17" s="49">
        <v>1</v>
      </c>
      <c r="J17" s="49" t="s">
        <v>73</v>
      </c>
      <c r="K17" s="49" t="s">
        <v>74</v>
      </c>
      <c r="L17" s="49" t="s">
        <v>0</v>
      </c>
      <c r="M17" s="49">
        <v>3</v>
      </c>
      <c r="N17" s="49">
        <v>30</v>
      </c>
      <c r="O17" s="49" t="s">
        <v>10</v>
      </c>
      <c r="P17" s="49"/>
      <c r="Q17" s="49"/>
      <c r="R17" s="49" t="s">
        <v>133</v>
      </c>
    </row>
    <row r="18" spans="2:18" s="32" customFormat="1" ht="58.95" customHeight="1" ns3:dyDescent="0.25">
      <c r="B18" s="49" t="s">
        <v>134</v>
      </c>
      <c r="C18" s="49" t="s">
        <v>135</v>
      </c>
      <c r="D18" s="49" t="s">
        <v>122</v>
      </c>
      <c r="E18" s="50" t="s">
        <v>136</v>
      </c>
      <c r="F18" s="50" t="s">
        <v>137</v>
      </c>
      <c r="G18" s="49" t="s">
        <v>138</v>
      </c>
      <c r="H18" s="49" t="s">
        <v>139</v>
      </c>
      <c r="I18" s="49">
        <v>1</v>
      </c>
      <c r="J18" s="49" t="s">
        <v>73</v>
      </c>
      <c r="K18" s="49" t="s">
        <v>74</v>
      </c>
      <c r="L18" s="49" t="s">
        <v>0</v>
      </c>
      <c r="M18" s="49">
        <v>3</v>
      </c>
      <c r="N18" s="49">
        <v>30</v>
      </c>
      <c r="O18" s="49" t="s">
        <v>8</v>
      </c>
      <c r="P18" s="49"/>
      <c r="Q18" s="49"/>
      <c r="R18" s="49" t="s">
        <v>133</v>
      </c>
    </row>
    <row r="19" spans="2:18" s="32" customFormat="1" ht="58.95" customHeight="1" ns3:dyDescent="0.25">
      <c r="B19" s="49" t="s">
        <v>140</v>
      </c>
      <c r="C19" s="49" t="s">
        <v>141</v>
      </c>
      <c r="D19" s="49" t="s">
        <v>122</v>
      </c>
      <c r="E19" s="49" t="s">
        <v>142</v>
      </c>
      <c r="F19" s="49" t="s">
        <v>143</v>
      </c>
      <c r="G19" s="49" t="s">
        <v>144</v>
      </c>
      <c r="H19" s="49" t="s">
        <v>145</v>
      </c>
      <c r="I19" s="49">
        <v>1</v>
      </c>
      <c r="J19" s="49" t="s">
        <v>73</v>
      </c>
      <c r="K19" s="49" t="s">
        <v>146</v>
      </c>
      <c r="L19" s="49" t="s">
        <v>0</v>
      </c>
      <c r="M19" s="49">
        <v>3</v>
      </c>
      <c r="N19" s="49">
        <v>30</v>
      </c>
      <c r="O19" s="49" t="s">
        <v>10</v>
      </c>
      <c r="P19" s="49"/>
      <c r="Q19" s="49"/>
      <c r="R19" s="49" t="s">
        <v>133</v>
      </c>
    </row>
    <row r="20" spans="2:18" s="32" customFormat="1" ht="58.95" customHeight="1" ns3:dyDescent="0.25">
      <c r="B20" s="49" t="s">
        <v>147</v>
      </c>
      <c r="C20" s="49" t="s">
        <v>148</v>
      </c>
      <c r="D20" s="49" t="s">
        <v>122</v>
      </c>
      <c r="E20" s="49" t="s">
        <v>149</v>
      </c>
      <c r="F20" s="49" t="s">
        <v>150</v>
      </c>
      <c r="G20" s="49" t="s">
        <v>151</v>
      </c>
      <c r="H20" s="49" t="s">
        <v>152</v>
      </c>
      <c r="I20" s="49">
        <v>1</v>
      </c>
      <c r="J20" s="49" t="s">
        <v>73</v>
      </c>
      <c r="K20" s="49" t="s">
        <v>74</v>
      </c>
      <c r="L20" s="49" t="s">
        <v>0</v>
      </c>
      <c r="M20" s="49">
        <v>3</v>
      </c>
      <c r="N20" s="49">
        <v>30</v>
      </c>
      <c r="O20" s="49" t="s">
        <v>10</v>
      </c>
      <c r="P20" s="49"/>
      <c r="Q20" s="49"/>
      <c r="R20" s="49" t="s">
        <v>153</v>
      </c>
    </row>
    <row r="21" spans="2:18" s="32" customFormat="1" ht="58.95" customHeight="1" ns3:dyDescent="0.25">
      <c r="B21" s="49" t="s">
        <v>154</v>
      </c>
      <c r="C21" s="49" t="s">
        <v>155</v>
      </c>
      <c r="D21" s="49" t="s">
        <v>122</v>
      </c>
      <c r="E21" s="49" t="s">
        <v>156</v>
      </c>
      <c r="F21" s="49" t="s">
        <v>157</v>
      </c>
      <c r="G21" s="49" t="s">
        <v>158</v>
      </c>
      <c r="H21" s="49" t="s">
        <v>159</v>
      </c>
      <c r="I21" s="49">
        <v>1</v>
      </c>
      <c r="J21" s="49" t="s">
        <v>73</v>
      </c>
      <c r="K21" s="49" t="s">
        <v>74</v>
      </c>
      <c r="L21" s="49" t="s">
        <v>0</v>
      </c>
      <c r="M21" s="49">
        <v>3</v>
      </c>
      <c r="N21" s="49">
        <v>30</v>
      </c>
      <c r="O21" s="49" t="s">
        <v>10</v>
      </c>
      <c r="P21" s="49"/>
      <c r="Q21" s="49"/>
      <c r="R21" s="49" t="s">
        <v>160</v>
      </c>
    </row>
    <row r="22" spans="2:18" s="32" customFormat="1" ht="58.95" customHeight="1" ns3:dyDescent="0.25">
      <c r="B22" s="49" t="s">
        <v>161</v>
      </c>
      <c r="C22" s="49" t="s">
        <v>162</v>
      </c>
      <c r="D22" s="49" t="s">
        <v>84</v>
      </c>
      <c r="E22" s="49" t="s">
        <v>163</v>
      </c>
      <c r="F22" s="49" t="s">
        <v>164</v>
      </c>
      <c r="G22" s="49" t="s">
        <v>165</v>
      </c>
      <c r="H22" s="49" t="s">
        <v>166</v>
      </c>
      <c r="I22" s="49">
        <v>2</v>
      </c>
      <c r="J22" s="49" t="s">
        <v>73</v>
      </c>
      <c r="K22" s="49" t="s">
        <v>74</v>
      </c>
      <c r="L22" s="49" t="s">
        <v>0</v>
      </c>
      <c r="M22" s="49">
        <v>4</v>
      </c>
      <c r="N22" s="49">
        <v>20</v>
      </c>
      <c r="O22" s="49" t="s">
        <v>13</v>
      </c>
      <c r="P22" s="49"/>
      <c r="Q22" s="49"/>
      <c r="R22" s="49" t="s">
        <v>133</v>
      </c>
    </row>
    <row r="23" spans="2:18" s="32" customFormat="1" ht="58.95" customHeight="1" ns3:dyDescent="0.25">
      <c r="B23" s="49" t="s">
        <v>167</v>
      </c>
      <c r="C23" s="49" t="s">
        <v>168</v>
      </c>
      <c r="D23" s="49" t="s">
        <v>84</v>
      </c>
      <c r="E23" s="49" t="s">
        <v>169</v>
      </c>
      <c r="F23" s="49" t="s">
        <v>170</v>
      </c>
      <c r="G23" s="49" t="s">
        <v>171</v>
      </c>
      <c r="H23" s="49" t="s">
        <v>172</v>
      </c>
      <c r="I23" s="49">
        <v>2</v>
      </c>
      <c r="J23" s="49" t="s">
        <v>73</v>
      </c>
      <c r="K23" s="49" t="s">
        <v>74</v>
      </c>
      <c r="L23" s="49" t="s">
        <v>0</v>
      </c>
      <c r="M23" s="49">
        <v>4</v>
      </c>
      <c r="N23" s="49">
        <v>35</v>
      </c>
      <c r="O23" s="49" t="s">
        <v>13</v>
      </c>
      <c r="P23" s="49"/>
      <c r="Q23" s="49"/>
      <c r="R23" s="49" t="s">
        <v>173</v>
      </c>
    </row>
    <row r="24" spans="2:18" s="32" customFormat="1" ht="58.95" customHeight="1" ns3:dyDescent="0.25">
      <c r="B24" s="49" t="s">
        <v>174</v>
      </c>
      <c r="C24" s="49" t="s">
        <v>175</v>
      </c>
      <c r="D24" s="49" t="s">
        <v>176</v>
      </c>
      <c r="E24" s="49" t="s">
        <v>177</v>
      </c>
      <c r="F24" s="49" t="s">
        <v>178</v>
      </c>
      <c r="G24" s="49" t="s">
        <v>179</v>
      </c>
      <c r="H24" s="49" t="s">
        <v>180</v>
      </c>
      <c r="I24" s="49">
        <v>2</v>
      </c>
      <c r="J24" s="49" t="s">
        <v>73</v>
      </c>
      <c r="K24" s="49" t="s">
        <v>181</v>
      </c>
      <c r="L24" s="49" t="s">
        <v>0</v>
      </c>
      <c r="M24" s="49">
        <v>4</v>
      </c>
      <c r="N24" s="49">
        <v>30</v>
      </c>
      <c r="O24" s="49" t="s">
        <v>10</v>
      </c>
      <c r="P24" s="49"/>
      <c r="Q24" s="49"/>
      <c r="R24" s="49" t="s">
        <v>75</v>
      </c>
    </row>
    <row r="25" spans="2:18" s="32" customFormat="1" ht="58.95" customHeight="1" ns3:dyDescent="0.25">
      <c r="B25" s="49" t="s">
        <v>182</v>
      </c>
      <c r="C25" s="49" t="s">
        <v>183</v>
      </c>
      <c r="D25" s="49" t="s">
        <v>184</v>
      </c>
      <c r="E25" s="49" t="s">
        <v>185</v>
      </c>
      <c r="F25" s="49" t="s">
        <v>186</v>
      </c>
      <c r="G25" s="68" t="s">
        <v>187</v>
      </c>
      <c r="H25" s="49" t="s">
        <v>188</v>
      </c>
      <c r="I25" s="49">
        <v>1</v>
      </c>
      <c r="J25" s="49" t="s">
        <v>73</v>
      </c>
      <c r="K25" s="49" t="s">
        <v>189</v>
      </c>
      <c r="L25" s="49" t="s">
        <v>0</v>
      </c>
      <c r="M25" s="49">
        <v>4</v>
      </c>
      <c r="N25" s="49">
        <v>35</v>
      </c>
      <c r="O25" s="49" t="s">
        <v>13</v>
      </c>
      <c r="P25" s="49"/>
      <c r="Q25" s="33"/>
      <c r="R25" s="33"/>
    </row>
    <row r="26" spans="2:18" s="32" customFormat="1" ht="92" customHeight="1" ns3:dyDescent="0.25">
      <c r="B26" s="49" t="s">
        <v>190</v>
      </c>
      <c r="C26" s="49" t="s">
        <v>191</v>
      </c>
      <c r="D26" s="49" t="s">
        <v>192</v>
      </c>
      <c r="E26" s="49" t="s">
        <v>193</v>
      </c>
      <c r="F26" s="49" t="s">
        <v>194</v>
      </c>
      <c r="G26" s="68" t="s">
        <v>195</v>
      </c>
      <c r="H26" s="49" t="s">
        <v>196</v>
      </c>
      <c r="I26" s="49">
        <v>1</v>
      </c>
      <c r="J26" s="49" t="s">
        <v>73</v>
      </c>
      <c r="K26" s="49" t="s">
        <v>189</v>
      </c>
      <c r="L26" s="49" t="s">
        <v>0</v>
      </c>
      <c r="M26" s="49">
        <v>2</v>
      </c>
      <c r="N26" s="49">
        <v>35</v>
      </c>
      <c r="O26" s="49" t="s">
        <v>8</v>
      </c>
      <c r="P26" s="49"/>
      <c r="Q26" s="33"/>
      <c r="R26" s="248" t="inlineStr">
        <is>
          <t>
Sprint 2 proposed: 2.10; 2.14/2.15/2.20 support. PB scope/estimate retained; task hours differ.</t>
        </is>
      </c>
    </row>
    <row r="27" spans="2:18" s="32" customFormat="1" ht="92" customHeight="1" ns3:dyDescent="0.25">
      <c r="B27" s="49" t="s">
        <v>197</v>
      </c>
      <c r="C27" s="49" t="s">
        <v>198</v>
      </c>
      <c r="D27" s="49" t="s">
        <v>199</v>
      </c>
      <c r="E27" s="49" t="s">
        <v>200</v>
      </c>
      <c r="F27" s="49" t="s">
        <v>201</v>
      </c>
      <c r="G27" s="68" t="s">
        <v>202</v>
      </c>
      <c r="H27" s="49" t="s">
        <v>196</v>
      </c>
      <c r="I27" s="49">
        <v>1</v>
      </c>
      <c r="J27" s="49" t="s">
        <v>73</v>
      </c>
      <c r="K27" s="49" t="s">
        <v>74</v>
      </c>
      <c r="L27" s="49" t="s">
        <v>0</v>
      </c>
      <c r="M27" s="49">
        <v>2</v>
      </c>
      <c r="N27" s="49">
        <v>30</v>
      </c>
      <c r="O27" s="49" t="s">
        <v>8</v>
      </c>
      <c r="P27" s="49"/>
      <c r="Q27" s="33"/>
      <c r="R27" s="248" t="inlineStr">
        <is>
          <t>
Sprint 2 proposed: 2.11/2.12; 2.14/2.17/2.20 support. PB scope/estimate retained; task hours differ.</t>
        </is>
      </c>
    </row>
    <row r="28" spans="2:18" s="32" customFormat="1" ht="58.95" customHeight="1" ns3:dyDescent="0.25">
      <c r="B28" s="49" t="s">
        <v>203</v>
      </c>
      <c r="C28" s="49" t="s">
        <v>204</v>
      </c>
      <c r="D28" s="49" t="s">
        <v>199</v>
      </c>
      <c r="E28" s="49" t="s">
        <v>205</v>
      </c>
      <c r="F28" s="49" t="s">
        <v>206</v>
      </c>
      <c r="G28" s="68" t="s">
        <v>207</v>
      </c>
      <c r="H28" s="49" t="s">
        <v>208</v>
      </c>
      <c r="I28" s="49">
        <v>1</v>
      </c>
      <c r="J28" s="49" t="s">
        <v>73</v>
      </c>
      <c r="K28" s="49" t="s">
        <v>146</v>
      </c>
      <c r="L28" s="49" t="s">
        <v>0</v>
      </c>
      <c r="M28" s="49">
        <v>3</v>
      </c>
      <c r="N28" s="49">
        <v>30</v>
      </c>
      <c r="O28" s="49" t="s">
        <v>8</v>
      </c>
      <c r="P28" s="49"/>
      <c r="Q28" s="33"/>
      <c r="R28" s="33"/>
    </row>
    <row r="29" spans="2:18" s="32" customFormat="1" ht="92" customHeight="1" ns3:dyDescent="0.25">
      <c r="B29" s="49" t="s">
        <v>209</v>
      </c>
      <c r="C29" s="49" t="s">
        <v>210</v>
      </c>
      <c r="D29" s="49" t="s">
        <v>199</v>
      </c>
      <c r="E29" s="49" t="s">
        <v>211</v>
      </c>
      <c r="F29" s="49" t="s">
        <v>212</v>
      </c>
      <c r="G29" s="68" t="s">
        <v>213</v>
      </c>
      <c r="H29" s="49" t="s">
        <v>214</v>
      </c>
      <c r="I29" s="49">
        <v>1</v>
      </c>
      <c r="J29" s="49" t="s">
        <v>73</v>
      </c>
      <c r="K29" s="49" t="s">
        <v>189</v>
      </c>
      <c r="L29" s="49" t="s">
        <v>0</v>
      </c>
      <c r="M29" s="49">
        <v>3</v>
      </c>
      <c r="N29" s="49">
        <v>25</v>
      </c>
      <c r="O29" s="49" t="s">
        <v>10</v>
      </c>
      <c r="P29" s="49"/>
      <c r="Q29" s="35"/>
      <c r="R29" s="249" t="inlineStr">
        <is>
          <t>
Sprint 2 proposed: 2.16 prepares mapping only; Sprint 3 assignment retained. PB scope/estimate retained; task hours differ.</t>
        </is>
      </c>
    </row>
    <row r="30" spans="2:18" s="32" customFormat="1" ht="58.95" customHeight="1" ns3:dyDescent="0.25">
      <c r="B30" s="49" t="s">
        <v>215</v>
      </c>
      <c r="C30" s="49" t="s">
        <v>216</v>
      </c>
      <c r="D30" s="49" t="s">
        <v>192</v>
      </c>
      <c r="E30" s="49" t="s">
        <v>217</v>
      </c>
      <c r="F30" s="49" t="s">
        <v>218</v>
      </c>
      <c r="G30" s="68" t="s">
        <v>219</v>
      </c>
      <c r="H30" s="49" t="s">
        <v>220</v>
      </c>
      <c r="I30" s="49">
        <v>1</v>
      </c>
      <c r="J30" s="49" t="s">
        <v>73</v>
      </c>
      <c r="K30" s="49" t="s">
        <v>189</v>
      </c>
      <c r="L30" s="49" t="s">
        <v>0</v>
      </c>
      <c r="M30" s="49">
        <v>1</v>
      </c>
      <c r="N30" s="49">
        <v>30</v>
      </c>
      <c r="O30" s="49" t="s">
        <v>13</v>
      </c>
      <c r="P30" s="49"/>
      <c r="Q30" s="35"/>
      <c r="R30" s="35"/>
    </row>
    <row r="31" spans="2:18" s="32" customFormat="1" ht="58.95" customHeight="1" ns3:dyDescent="0.25">
      <c r="B31" s="49" t="s">
        <v>221</v>
      </c>
      <c r="C31" s="49" t="s">
        <v>222</v>
      </c>
      <c r="D31" s="49" t="s">
        <v>192</v>
      </c>
      <c r="E31" s="49" t="s">
        <v>223</v>
      </c>
      <c r="F31" s="49" t="s">
        <v>224</v>
      </c>
      <c r="G31" s="68" t="s">
        <v>225</v>
      </c>
      <c r="H31" s="49" t="s">
        <v>220</v>
      </c>
      <c r="I31" s="49">
        <v>1</v>
      </c>
      <c r="J31" s="49" t="s">
        <v>73</v>
      </c>
      <c r="K31" s="49" t="s">
        <v>189</v>
      </c>
      <c r="L31" s="49" t="s">
        <v>0</v>
      </c>
      <c r="M31" s="49">
        <v>4</v>
      </c>
      <c r="N31" s="49">
        <v>40</v>
      </c>
      <c r="O31" s="49" t="s">
        <v>3</v>
      </c>
      <c r="P31" s="49"/>
      <c r="Q31" s="35"/>
      <c r="R31" s="35"/>
    </row>
    <row r="32" spans="2:18" s="32" customFormat="1" ht="58.95" customHeight="1" ns3:dyDescent="0.25">
      <c r="B32" s="35"/>
      <c r="C32" s="35"/>
      <c r="D32" s="35"/>
      <c r="E32" s="35"/>
      <c r="F32" s="35"/>
      <c r="G32" s="31"/>
      <c r="H32" s="35"/>
      <c r="I32" s="34"/>
      <c r="J32" s="34"/>
      <c r="K32" s="34"/>
      <c r="L32" s="34"/>
      <c r="M32" s="34"/>
      <c r="N32" s="34"/>
      <c r="O32" s="35"/>
      <c r="P32" s="35"/>
      <c r="Q32" s="35"/>
      <c r="R32" s="35"/>
    </row>
    <row r="33" spans="2:18" s="32" customFormat="1" ht="58.95" customHeight="1" ns3:dyDescent="0.25">
      <c r="B33" s="35"/>
      <c r="C33" s="35"/>
      <c r="D33" s="35"/>
      <c r="E33" s="35"/>
      <c r="F33" s="35"/>
      <c r="G33" s="31"/>
      <c r="H33" s="35"/>
      <c r="I33" s="34"/>
      <c r="J33" s="34"/>
      <c r="K33" s="34"/>
      <c r="L33" s="34"/>
      <c r="M33" s="34"/>
      <c r="N33" s="34"/>
      <c r="O33" s="35"/>
      <c r="P33" s="35"/>
      <c r="Q33" s="35"/>
      <c r="R33" s="35"/>
    </row>
    <row r="34" spans="2:18" s="32" customFormat="1" ht="58.95" customHeight="1" ns3:dyDescent="0.25">
      <c r="B34" s="35"/>
      <c r="C34" s="35"/>
      <c r="D34" s="35"/>
      <c r="E34" s="35"/>
      <c r="F34" s="35"/>
      <c r="G34" s="31"/>
      <c r="H34" s="35"/>
      <c r="I34" s="34"/>
      <c r="J34" s="34"/>
      <c r="K34" s="34"/>
      <c r="L34" s="34"/>
      <c r="M34" s="34"/>
      <c r="N34" s="34"/>
      <c r="O34" s="35"/>
      <c r="P34" s="35"/>
      <c r="Q34" s="35"/>
      <c r="R34" s="35"/>
    </row>
    <row r="35" spans="2:18" ht="13.5" customHeight="1" ns3:dyDescent="0.3">
      <c r="E35" s="1"/>
      <c r="F35" s="1"/>
      <c r="G35" s="28"/>
      <c r="H35" s="1"/>
    </row>
    <row r="36" spans="2:18" ht="13.5" customHeight="1" ns3:dyDescent="0.3">
      <c r="E36" s="1"/>
      <c r="F36" s="1"/>
      <c r="G36" s="28"/>
      <c r="H36" s="1"/>
    </row>
    <row r="37" spans="2:18" ht="13.5" customHeight="1" ns3:dyDescent="0.3">
      <c r="E37" s="1"/>
      <c r="F37" s="1"/>
      <c r="G37" s="28"/>
      <c r="H37" s="1"/>
    </row>
    <row r="38" spans="2:18" ht="13.5" customHeight="1" ns3:dyDescent="0.3">
      <c r="E38" s="1"/>
      <c r="F38" s="1"/>
      <c r="G38" s="28"/>
      <c r="H38" s="1"/>
    </row>
    <row r="39" spans="2:18" ht="13.5" customHeight="1" ns3:dyDescent="0.3">
      <c r="E39" s="1"/>
      <c r="F39" s="1"/>
      <c r="G39" s="28"/>
      <c r="H39" s="1"/>
    </row>
    <row r="40" spans="2:18" ht="13.5" customHeight="1" ns3:dyDescent="0.3">
      <c r="E40" s="1"/>
      <c r="F40" s="1"/>
      <c r="G40" s="28"/>
      <c r="H40" s="1"/>
    </row>
    <row r="41" spans="2:18" ht="13.5" customHeight="1" ns3:dyDescent="0.3">
      <c r="E41" s="1"/>
      <c r="F41" s="1"/>
      <c r="G41" s="28"/>
      <c r="H41" s="1"/>
    </row>
    <row r="42" spans="2:18" ht="13.5" customHeight="1" ns3:dyDescent="0.3">
      <c r="E42" s="1"/>
      <c r="F42" s="1"/>
      <c r="G42" s="28"/>
      <c r="H42" s="1"/>
    </row>
    <row r="43" spans="2:18" ht="13.5" customHeight="1" ns3:dyDescent="0.3">
      <c r="E43" s="1"/>
      <c r="F43" s="1"/>
      <c r="G43" s="28"/>
      <c r="H43" s="1"/>
    </row>
    <row r="44" spans="2:18" ht="13.5" customHeight="1" ns3:dyDescent="0.3">
      <c r="E44" s="1"/>
      <c r="F44" s="1"/>
      <c r="G44" s="28"/>
      <c r="H44" s="1"/>
    </row>
    <row r="45" spans="2:18" ht="13.5" customHeight="1" ns3:dyDescent="0.3">
      <c r="E45" s="1"/>
      <c r="F45" s="1"/>
      <c r="G45" s="28"/>
      <c r="H45" s="1"/>
    </row>
    <row r="46" spans="2:18" ht="13.5" customHeight="1" ns3:dyDescent="0.3">
      <c r="E46" s="1"/>
      <c r="F46" s="1"/>
      <c r="G46" s="28"/>
      <c r="H46" s="1"/>
    </row>
    <row r="47" spans="2:18" ht="13.5" customHeight="1" ns3:dyDescent="0.3">
      <c r="E47" s="1"/>
      <c r="F47" s="1"/>
      <c r="G47" s="28"/>
      <c r="H47" s="1"/>
    </row>
    <row r="48" spans="2:18" ht="13.5" customHeight="1" ns3:dyDescent="0.3">
      <c r="E48" s="1"/>
      <c r="F48" s="1"/>
      <c r="G48" s="28"/>
      <c r="H48" s="1"/>
    </row>
    <row r="49" spans="5:8" ht="13.5" customHeight="1" ns3:dyDescent="0.3">
      <c r="E49" s="1"/>
      <c r="F49" s="1"/>
      <c r="G49" s="28"/>
      <c r="H49" s="1"/>
    </row>
    <row r="50" spans="5:8" ht="13.5" customHeight="1" ns3:dyDescent="0.3">
      <c r="E50" s="1"/>
      <c r="F50" s="1"/>
      <c r="G50" s="28"/>
      <c r="H50" s="1"/>
    </row>
    <row r="51" spans="5:8" ht="13.5" customHeight="1" ns3:dyDescent="0.3">
      <c r="E51" s="1"/>
      <c r="F51" s="1"/>
      <c r="G51" s="28"/>
      <c r="H51" s="1"/>
    </row>
    <row r="52" spans="5:8" ht="13.5" customHeight="1" ns3:dyDescent="0.3">
      <c r="E52" s="1"/>
      <c r="F52" s="1"/>
      <c r="G52" s="28"/>
      <c r="H52" s="1"/>
    </row>
    <row r="53" spans="5:8" ht="13.5" customHeight="1" ns3:dyDescent="0.3">
      <c r="E53" s="1"/>
      <c r="F53" s="1"/>
      <c r="G53" s="28"/>
      <c r="H53" s="1"/>
    </row>
    <row r="54" spans="5:8" ht="13.5" customHeight="1" ns3:dyDescent="0.3">
      <c r="E54" s="1"/>
      <c r="F54" s="1"/>
      <c r="G54" s="28"/>
      <c r="H54" s="1"/>
    </row>
    <row r="55" spans="5:8" ht="13.5" customHeight="1" ns3:dyDescent="0.3">
      <c r="E55" s="1"/>
      <c r="F55" s="1"/>
      <c r="G55" s="28"/>
      <c r="H55" s="1"/>
    </row>
    <row r="56" spans="5:8" ht="13.5" customHeight="1" ns3:dyDescent="0.3">
      <c r="E56" s="1"/>
      <c r="F56" s="1"/>
      <c r="G56" s="28"/>
      <c r="H56" s="1"/>
    </row>
    <row r="57" spans="5:8" ht="13.5" customHeight="1" ns3:dyDescent="0.3">
      <c r="E57" s="1"/>
      <c r="F57" s="1"/>
      <c r="G57" s="28"/>
      <c r="H57" s="1"/>
    </row>
    <row r="58" spans="5:8" ht="13.5" customHeight="1" ns3:dyDescent="0.3">
      <c r="E58" s="1"/>
      <c r="F58" s="1"/>
      <c r="G58" s="28"/>
      <c r="H58" s="1"/>
    </row>
    <row r="59" spans="5:8" ht="13.5" customHeight="1" ns3:dyDescent="0.3">
      <c r="E59" s="1"/>
      <c r="F59" s="1"/>
      <c r="G59" s="28"/>
      <c r="H59" s="1"/>
    </row>
    <row r="60" spans="5:8" ht="13.5" customHeight="1" ns3:dyDescent="0.3">
      <c r="E60" s="1"/>
      <c r="F60" s="1"/>
      <c r="G60" s="28"/>
      <c r="H60" s="1"/>
    </row>
    <row r="61" spans="5:8" ht="13.5" customHeight="1" ns3:dyDescent="0.3">
      <c r="E61" s="1"/>
      <c r="F61" s="1"/>
      <c r="G61" s="28"/>
      <c r="H61" s="1"/>
    </row>
    <row r="62" spans="5:8" ht="13.5" customHeight="1" ns3:dyDescent="0.3">
      <c r="E62" s="1"/>
      <c r="F62" s="1"/>
      <c r="G62" s="28"/>
      <c r="H62" s="1"/>
    </row>
    <row r="63" spans="5:8" ht="13.5" customHeight="1" ns3:dyDescent="0.3">
      <c r="E63" s="1"/>
      <c r="F63" s="1"/>
      <c r="G63" s="28"/>
      <c r="H63" s="1"/>
    </row>
    <row r="64" spans="5:8" ht="13.5" customHeight="1" ns3:dyDescent="0.3">
      <c r="E64" s="1"/>
      <c r="F64" s="1"/>
      <c r="G64" s="28"/>
      <c r="H64" s="1"/>
    </row>
    <row r="65" spans="5:8" ht="13.5" customHeight="1" ns3:dyDescent="0.3">
      <c r="E65" s="1"/>
      <c r="F65" s="1"/>
      <c r="G65" s="28"/>
      <c r="H65" s="1"/>
    </row>
    <row r="66" spans="5:8" ht="13.5" customHeight="1" ns3:dyDescent="0.3">
      <c r="E66" s="1"/>
      <c r="F66" s="1"/>
      <c r="G66" s="28"/>
      <c r="H66" s="1"/>
    </row>
    <row r="67" spans="5:8" ht="13.5" customHeight="1" ns3:dyDescent="0.3">
      <c r="E67" s="1"/>
      <c r="F67" s="1"/>
      <c r="G67" s="28"/>
      <c r="H67" s="1"/>
    </row>
    <row r="68" spans="5:8" ht="13.5" customHeight="1" ns3:dyDescent="0.3">
      <c r="E68" s="1"/>
      <c r="F68" s="1"/>
      <c r="G68" s="28"/>
      <c r="H68" s="1"/>
    </row>
    <row r="69" spans="5:8" ht="13.5" customHeight="1" ns3:dyDescent="0.3">
      <c r="E69" s="1"/>
      <c r="F69" s="1"/>
      <c r="G69" s="28"/>
      <c r="H69" s="1"/>
    </row>
    <row r="70" spans="5:8" ht="13.5" customHeight="1" ns3:dyDescent="0.3">
      <c r="E70" s="1"/>
      <c r="F70" s="1"/>
      <c r="G70" s="28"/>
      <c r="H70" s="1"/>
    </row>
    <row r="71" spans="5:8" ht="13.5" customHeight="1" ns3:dyDescent="0.3">
      <c r="E71" s="1"/>
      <c r="F71" s="1"/>
      <c r="G71" s="28"/>
      <c r="H71" s="1"/>
    </row>
    <row r="72" spans="5:8" ht="13.5" customHeight="1" ns3:dyDescent="0.3">
      <c r="E72" s="1"/>
      <c r="F72" s="1"/>
      <c r="G72" s="28"/>
      <c r="H72" s="1"/>
    </row>
    <row r="73" spans="5:8" ht="13.5" customHeight="1" ns3:dyDescent="0.3">
      <c r="E73" s="1"/>
      <c r="F73" s="1"/>
      <c r="G73" s="28"/>
      <c r="H73" s="1"/>
    </row>
    <row r="74" spans="5:8" ht="13.5" customHeight="1" ns3:dyDescent="0.3">
      <c r="E74" s="1"/>
      <c r="F74" s="1"/>
      <c r="G74" s="28"/>
      <c r="H74" s="1"/>
    </row>
    <row r="75" spans="5:8" ht="13.5" customHeight="1" ns3:dyDescent="0.3">
      <c r="E75" s="1"/>
      <c r="F75" s="1"/>
      <c r="G75" s="28"/>
      <c r="H75" s="1"/>
    </row>
    <row r="76" spans="5:8" ht="13.5" customHeight="1" ns3:dyDescent="0.3">
      <c r="E76" s="1"/>
      <c r="F76" s="1"/>
      <c r="G76" s="28"/>
      <c r="H76" s="1"/>
    </row>
    <row r="77" spans="5:8" ht="13.5" customHeight="1" ns3:dyDescent="0.3">
      <c r="E77" s="1"/>
      <c r="F77" s="1"/>
      <c r="G77" s="28"/>
      <c r="H77" s="1"/>
    </row>
    <row r="78" spans="5:8" ht="13.5" customHeight="1" ns3:dyDescent="0.3">
      <c r="E78" s="1"/>
      <c r="F78" s="1"/>
      <c r="G78" s="28"/>
      <c r="H78" s="1"/>
    </row>
    <row r="79" spans="5:8" ht="13.5" customHeight="1" ns3:dyDescent="0.3">
      <c r="E79" s="1"/>
      <c r="F79" s="1"/>
      <c r="G79" s="28"/>
      <c r="H79" s="1"/>
    </row>
    <row r="80" spans="5:8" ht="13.5" customHeight="1" ns3:dyDescent="0.3">
      <c r="E80" s="1"/>
      <c r="F80" s="1"/>
      <c r="G80" s="28"/>
      <c r="H80" s="1"/>
    </row>
    <row r="81" spans="5:8" ht="13.5" customHeight="1" ns3:dyDescent="0.3">
      <c r="E81" s="1"/>
      <c r="F81" s="1"/>
      <c r="G81" s="28"/>
      <c r="H81" s="1"/>
    </row>
    <row r="82" spans="5:8" ht="13.5" customHeight="1" ns3:dyDescent="0.3">
      <c r="E82" s="1"/>
      <c r="F82" s="1"/>
      <c r="G82" s="28"/>
      <c r="H82" s="1"/>
    </row>
    <row r="83" spans="5:8" ht="13.5" customHeight="1" ns3:dyDescent="0.3">
      <c r="E83" s="1"/>
      <c r="F83" s="1"/>
      <c r="G83" s="28"/>
      <c r="H83" s="1"/>
    </row>
    <row r="84" spans="5:8" ht="13.5" customHeight="1" ns3:dyDescent="0.3">
      <c r="E84" s="1"/>
      <c r="F84" s="1"/>
      <c r="G84" s="28"/>
      <c r="H84" s="1"/>
    </row>
    <row r="85" spans="5:8" ht="13.5" customHeight="1" ns3:dyDescent="0.3">
      <c r="E85" s="1"/>
      <c r="F85" s="1"/>
      <c r="G85" s="28"/>
      <c r="H85" s="1"/>
    </row>
    <row r="86" spans="5:8" ht="13.5" customHeight="1" ns3:dyDescent="0.3">
      <c r="E86" s="1"/>
      <c r="F86" s="1"/>
      <c r="G86" s="28"/>
      <c r="H86" s="1"/>
    </row>
    <row r="87" spans="5:8" ht="13.5" customHeight="1" ns3:dyDescent="0.3">
      <c r="E87" s="1"/>
      <c r="F87" s="1"/>
      <c r="G87" s="28"/>
      <c r="H87" s="1"/>
    </row>
    <row r="88" spans="5:8" ht="13.5" customHeight="1" ns3:dyDescent="0.3">
      <c r="E88" s="1"/>
      <c r="F88" s="1"/>
      <c r="G88" s="28"/>
      <c r="H88" s="1"/>
    </row>
    <row r="89" spans="5:8" ht="13.5" customHeight="1" ns3:dyDescent="0.3">
      <c r="E89" s="1"/>
      <c r="F89" s="1"/>
      <c r="G89" s="28"/>
      <c r="H89" s="1"/>
    </row>
    <row r="90" spans="5:8" ht="13.5" customHeight="1" ns3:dyDescent="0.3">
      <c r="E90" s="1"/>
      <c r="F90" s="1"/>
      <c r="G90" s="28"/>
      <c r="H90" s="1"/>
    </row>
    <row r="91" spans="5:8" ht="13.5" customHeight="1" ns3:dyDescent="0.3">
      <c r="E91" s="1"/>
      <c r="F91" s="1"/>
      <c r="G91" s="28"/>
      <c r="H91" s="1"/>
    </row>
    <row r="92" spans="5:8" ht="13.5" customHeight="1" ns3:dyDescent="0.3">
      <c r="E92" s="1"/>
      <c r="F92" s="1"/>
      <c r="G92" s="28"/>
      <c r="H92" s="1"/>
    </row>
    <row r="93" spans="5:8" ht="13.5" customHeight="1" ns3:dyDescent="0.3">
      <c r="E93" s="1"/>
      <c r="F93" s="1"/>
      <c r="G93" s="28"/>
      <c r="H93" s="1"/>
    </row>
    <row r="94" spans="5:8" ht="13.5" customHeight="1" ns3:dyDescent="0.3">
      <c r="E94" s="1"/>
      <c r="F94" s="1"/>
      <c r="G94" s="28"/>
      <c r="H94" s="1"/>
    </row>
    <row r="95" spans="5:8" ht="13.5" customHeight="1" ns3:dyDescent="0.3">
      <c r="E95" s="1"/>
      <c r="F95" s="1"/>
      <c r="G95" s="28"/>
      <c r="H95" s="1"/>
    </row>
    <row r="96" spans="5:8" ht="13.5" customHeight="1" ns3:dyDescent="0.3">
      <c r="E96" s="1"/>
      <c r="F96" s="1"/>
      <c r="G96" s="28"/>
      <c r="H96" s="1"/>
    </row>
    <row r="97" spans="5:8" ht="13.5" customHeight="1" ns3:dyDescent="0.3">
      <c r="E97" s="1"/>
      <c r="F97" s="1"/>
      <c r="G97" s="28"/>
      <c r="H97" s="1"/>
    </row>
    <row r="98" spans="5:8" ht="13.5" customHeight="1" ns3:dyDescent="0.3">
      <c r="E98" s="1"/>
      <c r="F98" s="1"/>
      <c r="G98" s="28"/>
      <c r="H98" s="1"/>
    </row>
    <row r="99" spans="5:8" ht="13.5" customHeight="1" ns3:dyDescent="0.3">
      <c r="E99" s="1"/>
      <c r="F99" s="1"/>
      <c r="G99" s="28"/>
      <c r="H99" s="1"/>
    </row>
    <row r="100" spans="5:8" ht="13.5" customHeight="1" ns3:dyDescent="0.3">
      <c r="E100" s="1"/>
      <c r="F100" s="1"/>
      <c r="G100" s="28"/>
      <c r="H100" s="1"/>
    </row>
    <row r="101" spans="5:8" ht="13.5" customHeight="1" ns3:dyDescent="0.3">
      <c r="E101" s="1"/>
      <c r="F101" s="1"/>
      <c r="G101" s="28"/>
      <c r="H101" s="1"/>
    </row>
    <row r="102" spans="5:8" ht="13.5" customHeight="1" ns3:dyDescent="0.3">
      <c r="E102" s="1"/>
      <c r="F102" s="1"/>
      <c r="G102" s="28"/>
      <c r="H102" s="1"/>
    </row>
    <row r="103" spans="5:8" ht="13.5" customHeight="1" ns3:dyDescent="0.3">
      <c r="E103" s="1"/>
      <c r="F103" s="1"/>
      <c r="G103" s="28"/>
      <c r="H103" s="1"/>
    </row>
    <row r="104" spans="5:8" ht="13.5" customHeight="1" ns3:dyDescent="0.3">
      <c r="E104" s="1"/>
      <c r="F104" s="1"/>
      <c r="G104" s="28"/>
      <c r="H104" s="1"/>
    </row>
    <row r="105" spans="5:8" ht="13.5" customHeight="1" ns3:dyDescent="0.3">
      <c r="E105" s="1"/>
      <c r="F105" s="1"/>
      <c r="G105" s="28"/>
      <c r="H105" s="1"/>
    </row>
    <row r="106" spans="5:8" ht="13.5" customHeight="1" ns3:dyDescent="0.3">
      <c r="E106" s="1"/>
      <c r="F106" s="1"/>
      <c r="G106" s="28"/>
      <c r="H106" s="1"/>
    </row>
    <row r="107" spans="5:8" ht="13.5" customHeight="1" ns3:dyDescent="0.3">
      <c r="E107" s="1"/>
      <c r="F107" s="1"/>
      <c r="G107" s="28"/>
      <c r="H107" s="1"/>
    </row>
    <row r="108" spans="5:8" ht="13.5" customHeight="1" ns3:dyDescent="0.3">
      <c r="E108" s="1"/>
      <c r="F108" s="1"/>
      <c r="G108" s="28"/>
      <c r="H108" s="1"/>
    </row>
    <row r="109" spans="5:8" ht="13.5" customHeight="1" ns3:dyDescent="0.3">
      <c r="E109" s="1"/>
      <c r="F109" s="1"/>
      <c r="G109" s="28"/>
      <c r="H109" s="1"/>
    </row>
    <row r="110" spans="5:8" ht="13.5" customHeight="1" ns3:dyDescent="0.3">
      <c r="E110" s="1"/>
      <c r="F110" s="1"/>
      <c r="G110" s="28"/>
      <c r="H110" s="1"/>
    </row>
    <row r="111" spans="5:8" ht="13.5" customHeight="1" ns3:dyDescent="0.3">
      <c r="E111" s="1"/>
      <c r="F111" s="1"/>
      <c r="G111" s="28"/>
      <c r="H111" s="1"/>
    </row>
    <row r="112" spans="5:8" ht="13.5" customHeight="1" ns3:dyDescent="0.3">
      <c r="E112" s="1"/>
      <c r="F112" s="1"/>
      <c r="G112" s="28"/>
      <c r="H112" s="1"/>
    </row>
    <row r="113" spans="5:8" ht="13.5" customHeight="1" ns3:dyDescent="0.3">
      <c r="E113" s="1"/>
      <c r="F113" s="1"/>
      <c r="G113" s="28"/>
      <c r="H113" s="1"/>
    </row>
    <row r="114" spans="5:8" ht="13.5" customHeight="1" ns3:dyDescent="0.3">
      <c r="E114" s="1"/>
      <c r="F114" s="1"/>
      <c r="G114" s="28"/>
      <c r="H114" s="1"/>
    </row>
    <row r="115" spans="5:8" ht="13.5" customHeight="1" ns3:dyDescent="0.3">
      <c r="E115" s="1"/>
      <c r="F115" s="1"/>
      <c r="G115" s="28"/>
      <c r="H115" s="1"/>
    </row>
    <row r="116" spans="5:8" ht="13.5" customHeight="1" ns3:dyDescent="0.3">
      <c r="E116" s="1"/>
      <c r="F116" s="1"/>
      <c r="G116" s="28"/>
      <c r="H116" s="1"/>
    </row>
    <row r="117" spans="5:8" ht="13.5" customHeight="1" ns3:dyDescent="0.3">
      <c r="E117" s="1"/>
      <c r="F117" s="1"/>
      <c r="G117" s="28"/>
      <c r="H117" s="1"/>
    </row>
    <row r="118" spans="5:8" ht="13.5" customHeight="1" ns3:dyDescent="0.3">
      <c r="E118" s="1"/>
      <c r="F118" s="1"/>
      <c r="G118" s="28"/>
      <c r="H118" s="1"/>
    </row>
    <row r="119" spans="5:8" ht="13.5" customHeight="1" ns3:dyDescent="0.3">
      <c r="E119" s="1"/>
      <c r="F119" s="1"/>
      <c r="G119" s="28"/>
      <c r="H119" s="1"/>
    </row>
    <row r="120" spans="5:8" ht="13.5" customHeight="1" ns3:dyDescent="0.3">
      <c r="E120" s="1"/>
      <c r="F120" s="1"/>
      <c r="G120" s="28"/>
      <c r="H120" s="1"/>
    </row>
    <row r="121" spans="5:8" ht="13.5" customHeight="1" ns3:dyDescent="0.3">
      <c r="E121" s="1"/>
      <c r="F121" s="1"/>
      <c r="G121" s="28"/>
      <c r="H121" s="1"/>
    </row>
    <row r="122" spans="5:8" ht="13.5" customHeight="1" ns3:dyDescent="0.3">
      <c r="E122" s="1"/>
      <c r="F122" s="1"/>
      <c r="G122" s="28"/>
      <c r="H122" s="1"/>
    </row>
    <row r="123" spans="5:8" ht="13.5" customHeight="1" ns3:dyDescent="0.3">
      <c r="E123" s="1"/>
      <c r="F123" s="1"/>
      <c r="G123" s="28"/>
      <c r="H123" s="1"/>
    </row>
    <row r="124" spans="5:8" ht="13.5" customHeight="1" ns3:dyDescent="0.3">
      <c r="E124" s="1"/>
      <c r="F124" s="1"/>
      <c r="G124" s="28"/>
      <c r="H124" s="1"/>
    </row>
    <row r="125" spans="5:8" ht="13.5" customHeight="1" ns3:dyDescent="0.3">
      <c r="E125" s="1"/>
      <c r="F125" s="1"/>
      <c r="G125" s="28"/>
      <c r="H125" s="1"/>
    </row>
    <row r="126" spans="5:8" ht="13.5" customHeight="1" ns3:dyDescent="0.3">
      <c r="E126" s="1"/>
      <c r="F126" s="1"/>
      <c r="G126" s="28"/>
      <c r="H126" s="1"/>
    </row>
    <row r="127" spans="5:8" ht="13.5" customHeight="1" ns3:dyDescent="0.3">
      <c r="E127" s="1"/>
      <c r="F127" s="1"/>
      <c r="G127" s="28"/>
      <c r="H127" s="1"/>
    </row>
    <row r="128" spans="5:8" ht="13.5" customHeight="1" ns3:dyDescent="0.3">
      <c r="E128" s="1"/>
      <c r="F128" s="1"/>
      <c r="G128" s="28"/>
      <c r="H128" s="1"/>
    </row>
    <row r="129" spans="5:8" ht="13.5" customHeight="1" ns3:dyDescent="0.3">
      <c r="E129" s="1"/>
      <c r="F129" s="1"/>
      <c r="G129" s="28"/>
      <c r="H129" s="1"/>
    </row>
    <row r="130" spans="5:8" ht="13.5" customHeight="1" ns3:dyDescent="0.3">
      <c r="E130" s="1"/>
      <c r="F130" s="1"/>
      <c r="G130" s="28"/>
      <c r="H130" s="1"/>
    </row>
    <row r="131" spans="5:8" ht="13.5" customHeight="1" ns3:dyDescent="0.3">
      <c r="E131" s="1"/>
      <c r="F131" s="1"/>
      <c r="G131" s="28"/>
      <c r="H131" s="1"/>
    </row>
    <row r="132" spans="5:8" ht="13.5" customHeight="1" ns3:dyDescent="0.3">
      <c r="E132" s="1"/>
      <c r="F132" s="1"/>
      <c r="G132" s="28"/>
      <c r="H132" s="1"/>
    </row>
    <row r="133" spans="5:8" ht="13.5" customHeight="1" ns3:dyDescent="0.3">
      <c r="E133" s="1"/>
      <c r="F133" s="1"/>
      <c r="G133" s="28"/>
      <c r="H133" s="1"/>
    </row>
    <row r="134" spans="5:8" ht="13.5" customHeight="1" ns3:dyDescent="0.3">
      <c r="E134" s="1"/>
      <c r="F134" s="1"/>
      <c r="G134" s="28"/>
      <c r="H134" s="1"/>
    </row>
    <row r="135" spans="5:8" ht="13.5" customHeight="1" ns3:dyDescent="0.3">
      <c r="E135" s="1"/>
      <c r="F135" s="1"/>
      <c r="G135" s="28"/>
      <c r="H135" s="1"/>
    </row>
    <row r="136" spans="5:8" ht="13.5" customHeight="1" ns3:dyDescent="0.3">
      <c r="E136" s="1"/>
      <c r="F136" s="1"/>
      <c r="G136" s="28"/>
      <c r="H136" s="1"/>
    </row>
    <row r="137" spans="5:8" ht="13.5" customHeight="1" ns3:dyDescent="0.3">
      <c r="E137" s="1"/>
      <c r="F137" s="1"/>
      <c r="G137" s="28"/>
      <c r="H137" s="1"/>
    </row>
    <row r="138" spans="5:8" ht="13.5" customHeight="1" ns3:dyDescent="0.3">
      <c r="E138" s="1"/>
      <c r="F138" s="1"/>
      <c r="G138" s="28"/>
      <c r="H138" s="1"/>
    </row>
    <row r="139" spans="5:8" ht="13.5" customHeight="1" ns3:dyDescent="0.3">
      <c r="E139" s="1"/>
      <c r="F139" s="1"/>
      <c r="G139" s="28"/>
      <c r="H139" s="1"/>
    </row>
    <row r="140" spans="5:8" ht="13.5" customHeight="1" ns3:dyDescent="0.3">
      <c r="E140" s="1"/>
      <c r="F140" s="1"/>
      <c r="G140" s="28"/>
      <c r="H140" s="1"/>
    </row>
    <row r="141" spans="5:8" ht="13.5" customHeight="1" ns3:dyDescent="0.3">
      <c r="E141" s="1"/>
      <c r="F141" s="1"/>
      <c r="G141" s="28"/>
      <c r="H141" s="1"/>
    </row>
    <row r="142" spans="5:8" ht="13.5" customHeight="1" ns3:dyDescent="0.3">
      <c r="E142" s="1"/>
      <c r="F142" s="1"/>
      <c r="G142" s="28"/>
      <c r="H142" s="1"/>
    </row>
    <row r="143" spans="5:8" ht="13.5" customHeight="1" ns3:dyDescent="0.3">
      <c r="E143" s="1"/>
      <c r="F143" s="1"/>
      <c r="G143" s="28"/>
      <c r="H143" s="1"/>
    </row>
    <row r="144" spans="5:8" ht="13.5" customHeight="1" ns3:dyDescent="0.3">
      <c r="E144" s="1"/>
      <c r="F144" s="1"/>
      <c r="G144" s="28"/>
      <c r="H144" s="1"/>
    </row>
    <row r="145" spans="5:8" ht="13.5" customHeight="1" ns3:dyDescent="0.3">
      <c r="E145" s="1"/>
      <c r="F145" s="1"/>
      <c r="G145" s="28"/>
      <c r="H145" s="1"/>
    </row>
    <row r="146" spans="5:8" ht="13.5" customHeight="1" ns3:dyDescent="0.3">
      <c r="E146" s="1"/>
      <c r="F146" s="1"/>
      <c r="G146" s="28"/>
      <c r="H146" s="1"/>
    </row>
    <row r="147" spans="5:8" ht="13.5" customHeight="1" ns3:dyDescent="0.3">
      <c r="E147" s="1"/>
      <c r="F147" s="1"/>
      <c r="G147" s="28"/>
      <c r="H147" s="1"/>
    </row>
    <row r="148" spans="5:8" ht="13.5" customHeight="1" ns3:dyDescent="0.3">
      <c r="E148" s="1"/>
      <c r="F148" s="1"/>
      <c r="G148" s="28"/>
      <c r="H148" s="1"/>
    </row>
    <row r="149" spans="5:8" ht="13.5" customHeight="1" ns3:dyDescent="0.3">
      <c r="E149" s="1"/>
      <c r="F149" s="1"/>
      <c r="G149" s="28"/>
      <c r="H149" s="1"/>
    </row>
    <row r="150" spans="5:8" ht="13.5" customHeight="1" ns3:dyDescent="0.3">
      <c r="E150" s="1"/>
      <c r="F150" s="1"/>
      <c r="G150" s="28"/>
      <c r="H150" s="1"/>
    </row>
    <row r="151" spans="5:8" ht="13.5" customHeight="1" ns3:dyDescent="0.3">
      <c r="E151" s="1"/>
      <c r="F151" s="1"/>
      <c r="G151" s="28"/>
      <c r="H151" s="1"/>
    </row>
    <row r="152" spans="5:8" ht="13.5" customHeight="1" ns3:dyDescent="0.3">
      <c r="E152" s="1"/>
      <c r="F152" s="1"/>
      <c r="G152" s="28"/>
      <c r="H152" s="1"/>
    </row>
    <row r="153" spans="5:8" ht="13.5" customHeight="1" ns3:dyDescent="0.3">
      <c r="E153" s="1"/>
      <c r="F153" s="1"/>
      <c r="G153" s="28"/>
      <c r="H153" s="1"/>
    </row>
    <row r="154" spans="5:8" ht="13.5" customHeight="1" ns3:dyDescent="0.3">
      <c r="E154" s="1"/>
      <c r="F154" s="1"/>
      <c r="G154" s="28"/>
      <c r="H154" s="1"/>
    </row>
    <row r="155" spans="5:8" ht="13.5" customHeight="1" ns3:dyDescent="0.3">
      <c r="E155" s="1"/>
      <c r="F155" s="1"/>
      <c r="G155" s="28"/>
      <c r="H155" s="1"/>
    </row>
    <row r="156" spans="5:8" ht="13.5" customHeight="1" ns3:dyDescent="0.3">
      <c r="E156" s="1"/>
      <c r="F156" s="1"/>
      <c r="G156" s="28"/>
      <c r="H156" s="1"/>
    </row>
    <row r="157" spans="5:8" ht="13.5" customHeight="1" ns3:dyDescent="0.3">
      <c r="E157" s="1"/>
      <c r="F157" s="1"/>
      <c r="G157" s="28"/>
      <c r="H157" s="1"/>
    </row>
    <row r="158" spans="5:8" ht="13.5" customHeight="1" ns3:dyDescent="0.3">
      <c r="E158" s="1"/>
      <c r="F158" s="1"/>
      <c r="G158" s="28"/>
      <c r="H158" s="1"/>
    </row>
    <row r="159" spans="5:8" ht="13.5" customHeight="1" ns3:dyDescent="0.3">
      <c r="E159" s="1"/>
      <c r="F159" s="1"/>
      <c r="G159" s="28"/>
      <c r="H159" s="1"/>
    </row>
    <row r="160" spans="5:8" ht="13.5" customHeight="1" ns3:dyDescent="0.3">
      <c r="E160" s="1"/>
      <c r="F160" s="1"/>
      <c r="G160" s="28"/>
      <c r="H160" s="1"/>
    </row>
    <row r="161" spans="5:8" ht="13.5" customHeight="1" ns3:dyDescent="0.3">
      <c r="E161" s="1"/>
      <c r="F161" s="1"/>
      <c r="G161" s="28"/>
      <c r="H161" s="1"/>
    </row>
    <row r="162" spans="5:8" ht="13.5" customHeight="1" ns3:dyDescent="0.3">
      <c r="E162" s="1"/>
      <c r="F162" s="1"/>
      <c r="G162" s="28"/>
      <c r="H162" s="1"/>
    </row>
    <row r="163" spans="5:8" ht="13.5" customHeight="1" ns3:dyDescent="0.3">
      <c r="E163" s="1"/>
      <c r="F163" s="1"/>
      <c r="G163" s="28"/>
      <c r="H163" s="1"/>
    </row>
    <row r="164" spans="5:8" ht="13.5" customHeight="1" ns3:dyDescent="0.3">
      <c r="E164" s="1"/>
      <c r="F164" s="1"/>
      <c r="G164" s="28"/>
      <c r="H164" s="1"/>
    </row>
    <row r="165" spans="5:8" ht="13.5" customHeight="1" ns3:dyDescent="0.3">
      <c r="E165" s="1"/>
      <c r="F165" s="1"/>
      <c r="G165" s="28"/>
      <c r="H165" s="1"/>
    </row>
    <row r="166" spans="5:8" ht="13.5" customHeight="1" ns3:dyDescent="0.3">
      <c r="E166" s="1"/>
      <c r="F166" s="1"/>
      <c r="G166" s="28"/>
      <c r="H166" s="1"/>
    </row>
    <row r="167" spans="5:8" ht="13.5" customHeight="1" ns3:dyDescent="0.3">
      <c r="E167" s="1"/>
      <c r="F167" s="1"/>
      <c r="G167" s="28"/>
      <c r="H167" s="1"/>
    </row>
    <row r="168" spans="5:8" ht="13.5" customHeight="1" ns3:dyDescent="0.3">
      <c r="E168" s="1"/>
      <c r="F168" s="1"/>
      <c r="G168" s="28"/>
      <c r="H168" s="1"/>
    </row>
    <row r="169" spans="5:8" ht="13.5" customHeight="1" ns3:dyDescent="0.3">
      <c r="E169" s="1"/>
      <c r="F169" s="1"/>
      <c r="G169" s="28"/>
      <c r="H169" s="1"/>
    </row>
    <row r="170" spans="5:8" ht="13.5" customHeight="1" ns3:dyDescent="0.3">
      <c r="E170" s="1"/>
      <c r="F170" s="1"/>
      <c r="G170" s="28"/>
      <c r="H170" s="1"/>
    </row>
    <row r="171" spans="5:8" ht="13.5" customHeight="1" ns3:dyDescent="0.3">
      <c r="E171" s="1"/>
      <c r="F171" s="1"/>
      <c r="G171" s="28"/>
      <c r="H171" s="1"/>
    </row>
    <row r="172" spans="5:8" ht="13.5" customHeight="1" ns3:dyDescent="0.3">
      <c r="E172" s="1"/>
      <c r="F172" s="1"/>
      <c r="G172" s="28"/>
      <c r="H172" s="1"/>
    </row>
    <row r="173" spans="5:8" ht="13.5" customHeight="1" ns3:dyDescent="0.3">
      <c r="E173" s="1"/>
      <c r="F173" s="1"/>
      <c r="G173" s="28"/>
      <c r="H173" s="1"/>
    </row>
    <row r="174" spans="5:8" ht="13.5" customHeight="1" ns3:dyDescent="0.3">
      <c r="E174" s="1"/>
      <c r="F174" s="1"/>
      <c r="G174" s="28"/>
      <c r="H174" s="1"/>
    </row>
    <row r="175" spans="5:8" ht="13.5" customHeight="1" ns3:dyDescent="0.3">
      <c r="E175" s="1"/>
      <c r="F175" s="1"/>
      <c r="G175" s="28"/>
      <c r="H175" s="1"/>
    </row>
    <row r="176" spans="5:8" ht="13.5" customHeight="1" ns3:dyDescent="0.3">
      <c r="E176" s="1"/>
      <c r="F176" s="1"/>
      <c r="G176" s="28"/>
      <c r="H176" s="1"/>
    </row>
    <row r="177" spans="5:8" ht="13.5" customHeight="1" ns3:dyDescent="0.3">
      <c r="E177" s="1"/>
      <c r="F177" s="1"/>
      <c r="G177" s="28"/>
      <c r="H177" s="1"/>
    </row>
    <row r="178" spans="5:8" ht="13.5" customHeight="1" ns3:dyDescent="0.3">
      <c r="E178" s="1"/>
      <c r="F178" s="1"/>
      <c r="G178" s="28"/>
      <c r="H178" s="1"/>
    </row>
    <row r="179" spans="5:8" ht="13.5" customHeight="1" ns3:dyDescent="0.3">
      <c r="E179" s="1"/>
      <c r="F179" s="1"/>
      <c r="G179" s="28"/>
      <c r="H179" s="1"/>
    </row>
    <row r="180" spans="5:8" ht="13.5" customHeight="1" ns3:dyDescent="0.3">
      <c r="E180" s="1"/>
      <c r="F180" s="1"/>
      <c r="G180" s="28"/>
      <c r="H180" s="1"/>
    </row>
    <row r="181" spans="5:8" ht="13.5" customHeight="1" ns3:dyDescent="0.3">
      <c r="E181" s="1"/>
      <c r="F181" s="1"/>
      <c r="G181" s="28"/>
      <c r="H181" s="1"/>
    </row>
    <row r="182" spans="5:8" ht="13.5" customHeight="1" ns3:dyDescent="0.3">
      <c r="E182" s="1"/>
      <c r="F182" s="1"/>
      <c r="G182" s="28"/>
      <c r="H182" s="1"/>
    </row>
    <row r="183" spans="5:8" ht="13.5" customHeight="1" ns3:dyDescent="0.3">
      <c r="E183" s="1"/>
      <c r="F183" s="1"/>
      <c r="G183" s="28"/>
      <c r="H183" s="1"/>
    </row>
    <row r="184" spans="5:8" ht="13.5" customHeight="1" ns3:dyDescent="0.3">
      <c r="E184" s="1"/>
      <c r="F184" s="1"/>
      <c r="G184" s="28"/>
      <c r="H184" s="1"/>
    </row>
    <row r="185" spans="5:8" ht="13.5" customHeight="1" ns3:dyDescent="0.3">
      <c r="E185" s="1"/>
      <c r="F185" s="1"/>
      <c r="G185" s="28"/>
      <c r="H185" s="1"/>
    </row>
    <row r="186" spans="5:8" ht="13.5" customHeight="1" ns3:dyDescent="0.3">
      <c r="E186" s="1"/>
      <c r="F186" s="1"/>
      <c r="G186" s="28"/>
      <c r="H186" s="1"/>
    </row>
    <row r="187" spans="5:8" ht="13.5" customHeight="1" ns3:dyDescent="0.3">
      <c r="E187" s="1"/>
      <c r="F187" s="1"/>
      <c r="G187" s="28"/>
      <c r="H187" s="1"/>
    </row>
    <row r="188" spans="5:8" ht="13.5" customHeight="1" ns3:dyDescent="0.3">
      <c r="E188" s="1"/>
      <c r="F188" s="1"/>
      <c r="G188" s="28"/>
      <c r="H188" s="1"/>
    </row>
    <row r="189" spans="5:8" ht="13.5" customHeight="1" ns3:dyDescent="0.3">
      <c r="E189" s="1"/>
      <c r="F189" s="1"/>
      <c r="G189" s="28"/>
      <c r="H189" s="1"/>
    </row>
    <row r="190" spans="5:8" ht="13.5" customHeight="1" ns3:dyDescent="0.3">
      <c r="E190" s="1"/>
      <c r="F190" s="1"/>
      <c r="G190" s="28"/>
      <c r="H190" s="1"/>
    </row>
    <row r="191" spans="5:8" ht="13.5" customHeight="1" ns3:dyDescent="0.3">
      <c r="E191" s="1"/>
      <c r="F191" s="1"/>
      <c r="G191" s="28"/>
      <c r="H191" s="1"/>
    </row>
    <row r="192" spans="5:8" ht="13.5" customHeight="1" ns3:dyDescent="0.3">
      <c r="E192" s="1"/>
      <c r="F192" s="1"/>
      <c r="G192" s="28"/>
      <c r="H192" s="1"/>
    </row>
    <row r="193" spans="5:8" ht="13.5" customHeight="1" ns3:dyDescent="0.3">
      <c r="E193" s="1"/>
      <c r="F193" s="1"/>
      <c r="G193" s="28"/>
      <c r="H193" s="1"/>
    </row>
    <row r="194" spans="5:8" ht="13.5" customHeight="1" ns3:dyDescent="0.3">
      <c r="E194" s="1"/>
      <c r="F194" s="1"/>
      <c r="G194" s="28"/>
      <c r="H194" s="1"/>
    </row>
    <row r="195" spans="5:8" ht="13.5" customHeight="1" ns3:dyDescent="0.3">
      <c r="E195" s="1"/>
      <c r="F195" s="1"/>
      <c r="G195" s="28"/>
      <c r="H195" s="1"/>
    </row>
    <row r="196" spans="5:8" ht="13.5" customHeight="1" ns3:dyDescent="0.3">
      <c r="E196" s="1"/>
      <c r="F196" s="1"/>
      <c r="G196" s="28"/>
      <c r="H196" s="1"/>
    </row>
    <row r="197" spans="5:8" ht="13.5" customHeight="1" ns3:dyDescent="0.3">
      <c r="E197" s="1"/>
      <c r="F197" s="1"/>
      <c r="G197" s="28"/>
      <c r="H197" s="1"/>
    </row>
    <row r="198" spans="5:8" ht="13.5" customHeight="1" ns3:dyDescent="0.3">
      <c r="E198" s="1"/>
      <c r="F198" s="1"/>
      <c r="G198" s="28"/>
      <c r="H198" s="1"/>
    </row>
    <row r="199" spans="5:8" ht="13.5" customHeight="1" ns3:dyDescent="0.3">
      <c r="E199" s="1"/>
      <c r="F199" s="1"/>
      <c r="G199" s="28"/>
      <c r="H199" s="1"/>
    </row>
    <row r="200" spans="5:8" ht="13.5" customHeight="1" ns3:dyDescent="0.3">
      <c r="E200" s="1"/>
      <c r="F200" s="1"/>
      <c r="G200" s="28"/>
      <c r="H200" s="1"/>
    </row>
    <row r="201" spans="5:8" ht="13.5" customHeight="1" ns3:dyDescent="0.3">
      <c r="E201" s="1"/>
      <c r="F201" s="1"/>
      <c r="G201" s="28"/>
      <c r="H201" s="1"/>
    </row>
    <row r="202" spans="5:8" ht="13.5" customHeight="1" ns3:dyDescent="0.3">
      <c r="E202" s="1"/>
      <c r="F202" s="1"/>
      <c r="G202" s="28"/>
      <c r="H202" s="1"/>
    </row>
    <row r="203" spans="5:8" ht="13.5" customHeight="1" ns3:dyDescent="0.3">
      <c r="E203" s="1"/>
      <c r="F203" s="1"/>
      <c r="G203" s="28"/>
      <c r="H203" s="1"/>
    </row>
    <row r="204" spans="5:8" ht="13.5" customHeight="1" ns3:dyDescent="0.3">
      <c r="E204" s="1"/>
      <c r="F204" s="1"/>
      <c r="G204" s="28"/>
      <c r="H204" s="1"/>
    </row>
    <row r="205" spans="5:8" ht="13.5" customHeight="1" ns3:dyDescent="0.3">
      <c r="E205" s="1"/>
      <c r="F205" s="1"/>
      <c r="G205" s="28"/>
      <c r="H205" s="1"/>
    </row>
    <row r="206" spans="5:8" ht="13.5" customHeight="1" ns3:dyDescent="0.3">
      <c r="E206" s="1"/>
      <c r="F206" s="1"/>
      <c r="G206" s="28"/>
      <c r="H206" s="1"/>
    </row>
    <row r="207" spans="5:8" ht="13.5" customHeight="1" ns3:dyDescent="0.3">
      <c r="E207" s="1"/>
      <c r="F207" s="1"/>
      <c r="G207" s="28"/>
      <c r="H207" s="1"/>
    </row>
    <row r="208" spans="5:8" ht="13.5" customHeight="1" ns3:dyDescent="0.3">
      <c r="E208" s="1"/>
      <c r="F208" s="1"/>
      <c r="G208" s="28"/>
      <c r="H208" s="1"/>
    </row>
    <row r="209" spans="5:8" ht="13.5" customHeight="1" ns3:dyDescent="0.3">
      <c r="E209" s="1"/>
      <c r="F209" s="1"/>
      <c r="G209" s="28"/>
      <c r="H209" s="1"/>
    </row>
    <row r="210" spans="5:8" ht="13.5" customHeight="1" ns3:dyDescent="0.3">
      <c r="E210" s="1"/>
      <c r="F210" s="1"/>
      <c r="G210" s="28"/>
      <c r="H210" s="1"/>
    </row>
    <row r="211" spans="5:8" ht="13.5" customHeight="1" ns3:dyDescent="0.3">
      <c r="E211" s="1"/>
      <c r="F211" s="1"/>
      <c r="G211" s="28"/>
      <c r="H211" s="1"/>
    </row>
    <row r="212" spans="5:8" ht="13.5" customHeight="1" ns3:dyDescent="0.3">
      <c r="E212" s="1"/>
      <c r="F212" s="1"/>
      <c r="G212" s="28"/>
      <c r="H212" s="1"/>
    </row>
    <row r="213" spans="5:8" ht="13.5" customHeight="1" ns3:dyDescent="0.3">
      <c r="E213" s="1"/>
      <c r="F213" s="1"/>
      <c r="G213" s="28"/>
      <c r="H213" s="1"/>
    </row>
    <row r="214" spans="5:8" ht="13.5" customHeight="1" ns3:dyDescent="0.3">
      <c r="E214" s="1"/>
      <c r="F214" s="1"/>
      <c r="G214" s="28"/>
      <c r="H214" s="1"/>
    </row>
    <row r="215" spans="5:8" ht="13.5" customHeight="1" ns3:dyDescent="0.3">
      <c r="E215" s="1"/>
      <c r="F215" s="1"/>
      <c r="G215" s="28"/>
      <c r="H215" s="1"/>
    </row>
    <row r="216" spans="5:8" ht="13.5" customHeight="1" ns3:dyDescent="0.3">
      <c r="E216" s="1"/>
      <c r="F216" s="1"/>
      <c r="G216" s="28"/>
      <c r="H216" s="1"/>
    </row>
    <row r="217" spans="5:8" ht="13.5" customHeight="1" ns3:dyDescent="0.3">
      <c r="E217" s="1"/>
      <c r="F217" s="1"/>
      <c r="G217" s="28"/>
      <c r="H217" s="1"/>
    </row>
    <row r="218" spans="5:8" ht="13.5" customHeight="1" ns3:dyDescent="0.3">
      <c r="E218" s="1"/>
      <c r="F218" s="1"/>
      <c r="G218" s="28"/>
      <c r="H218" s="1"/>
    </row>
    <row r="219" spans="5:8" ht="13.5" customHeight="1" ns3:dyDescent="0.3">
      <c r="E219" s="1"/>
      <c r="F219" s="1"/>
      <c r="G219" s="28"/>
      <c r="H219" s="1"/>
    </row>
    <row r="220" spans="5:8" ht="13.5" customHeight="1" ns3:dyDescent="0.3">
      <c r="E220" s="1"/>
      <c r="F220" s="1"/>
      <c r="G220" s="28"/>
      <c r="H220" s="1"/>
    </row>
    <row r="221" spans="5:8" ht="13.5" customHeight="1" ns3:dyDescent="0.3">
      <c r="E221" s="1"/>
      <c r="F221" s="1"/>
      <c r="G221" s="28"/>
      <c r="H221" s="1"/>
    </row>
    <row r="222" spans="5:8" ht="13.5" customHeight="1" ns3:dyDescent="0.3">
      <c r="E222" s="1"/>
      <c r="F222" s="1"/>
      <c r="G222" s="28"/>
      <c r="H222" s="1"/>
    </row>
    <row r="223" spans="5:8" ht="13.5" customHeight="1" ns3:dyDescent="0.3">
      <c r="E223" s="1"/>
      <c r="F223" s="1"/>
      <c r="G223" s="28"/>
      <c r="H223" s="1"/>
    </row>
    <row r="224" spans="5:8" ht="13.5" customHeight="1" ns3:dyDescent="0.3">
      <c r="E224" s="1"/>
      <c r="F224" s="1"/>
      <c r="G224" s="28"/>
      <c r="H224" s="1"/>
    </row>
    <row r="225" spans="5:8" ht="13.5" customHeight="1" ns3:dyDescent="0.3">
      <c r="E225" s="1"/>
      <c r="F225" s="1"/>
      <c r="G225" s="28"/>
      <c r="H225" s="1"/>
    </row>
    <row r="226" spans="5:8" ht="13.5" customHeight="1" ns3:dyDescent="0.3">
      <c r="E226" s="1"/>
      <c r="F226" s="1"/>
      <c r="G226" s="28"/>
      <c r="H226" s="1"/>
    </row>
    <row r="227" spans="5:8" ht="13.5" customHeight="1" ns3:dyDescent="0.3">
      <c r="E227" s="1"/>
      <c r="F227" s="1"/>
      <c r="G227" s="28"/>
      <c r="H227" s="1"/>
    </row>
    <row r="228" spans="5:8" ht="13.5" customHeight="1" ns3:dyDescent="0.3">
      <c r="E228" s="1"/>
      <c r="F228" s="1"/>
      <c r="G228" s="28"/>
      <c r="H228" s="1"/>
    </row>
    <row r="229" spans="5:8" ht="13.5" customHeight="1" ns3:dyDescent="0.3">
      <c r="E229" s="1"/>
      <c r="F229" s="1"/>
      <c r="G229" s="28"/>
      <c r="H229" s="1"/>
    </row>
    <row r="230" spans="5:8" ht="13.5" customHeight="1" ns3:dyDescent="0.3">
      <c r="E230" s="1"/>
      <c r="F230" s="1"/>
      <c r="G230" s="28"/>
      <c r="H230" s="1"/>
    </row>
    <row r="231" spans="5:8" ht="13.5" customHeight="1" ns3:dyDescent="0.3">
      <c r="E231" s="1"/>
      <c r="F231" s="1"/>
      <c r="G231" s="28"/>
      <c r="H231" s="1"/>
    </row>
    <row r="232" spans="5:8" ht="13.5" customHeight="1" ns3:dyDescent="0.3">
      <c r="E232" s="1"/>
      <c r="F232" s="1"/>
      <c r="G232" s="28"/>
      <c r="H232" s="1"/>
    </row>
    <row r="233" spans="5:8" ht="13.5" customHeight="1" ns3:dyDescent="0.3">
      <c r="E233" s="1"/>
      <c r="F233" s="1"/>
      <c r="G233" s="28"/>
      <c r="H233" s="1"/>
    </row>
    <row r="234" spans="5:8" ht="13.5" customHeight="1" ns3:dyDescent="0.3">
      <c r="E234" s="1"/>
      <c r="F234" s="1"/>
      <c r="G234" s="28"/>
      <c r="H234" s="1"/>
    </row>
    <row r="235" spans="5:8" ht="13.5" customHeight="1" ns3:dyDescent="0.3">
      <c r="E235" s="1"/>
      <c r="F235" s="1"/>
      <c r="G235" s="28"/>
      <c r="H235" s="1"/>
    </row>
    <row r="236" spans="5:8" ht="13.5" customHeight="1" ns3:dyDescent="0.3">
      <c r="E236" s="1"/>
      <c r="F236" s="1"/>
      <c r="G236" s="28"/>
      <c r="H236" s="1"/>
    </row>
    <row r="237" spans="5:8" ht="13.5" customHeight="1" ns3:dyDescent="0.3">
      <c r="E237" s="1"/>
      <c r="F237" s="1"/>
      <c r="G237" s="28"/>
      <c r="H237" s="1"/>
    </row>
    <row r="238" spans="5:8" ht="13.5" customHeight="1" ns3:dyDescent="0.3">
      <c r="E238" s="1"/>
      <c r="F238" s="1"/>
      <c r="G238" s="28"/>
      <c r="H238" s="1"/>
    </row>
    <row r="239" spans="5:8" ht="13.5" customHeight="1" ns3:dyDescent="0.3">
      <c r="E239" s="1"/>
      <c r="F239" s="1"/>
      <c r="G239" s="28"/>
      <c r="H239" s="1"/>
    </row>
    <row r="240" spans="5:8" ht="13.5" customHeight="1" ns3:dyDescent="0.3">
      <c r="E240" s="1"/>
      <c r="F240" s="1"/>
      <c r="G240" s="28"/>
      <c r="H240" s="1"/>
    </row>
    <row r="241" spans="5:8" ht="13.5" customHeight="1" ns3:dyDescent="0.3">
      <c r="E241" s="1"/>
      <c r="F241" s="1"/>
      <c r="G241" s="28"/>
      <c r="H241" s="1"/>
    </row>
    <row r="242" spans="5:8" ht="13.5" customHeight="1" ns3:dyDescent="0.3">
      <c r="E242" s="1"/>
      <c r="F242" s="1"/>
      <c r="G242" s="28"/>
      <c r="H242" s="1"/>
    </row>
    <row r="243" spans="5:8" ht="13.5" customHeight="1" ns3:dyDescent="0.3">
      <c r="E243" s="1"/>
      <c r="F243" s="1"/>
      <c r="G243" s="28"/>
      <c r="H243" s="1"/>
    </row>
    <row r="244" spans="5:8" ht="13.5" customHeight="1" ns3:dyDescent="0.3">
      <c r="E244" s="1"/>
      <c r="F244" s="1"/>
      <c r="G244" s="28"/>
      <c r="H244" s="1"/>
    </row>
    <row r="245" spans="5:8" ht="13.5" customHeight="1" ns3:dyDescent="0.3">
      <c r="E245" s="1"/>
      <c r="F245" s="1"/>
      <c r="G245" s="28"/>
      <c r="H245" s="1"/>
    </row>
    <row r="246" spans="5:8" ht="13.5" customHeight="1" ns3:dyDescent="0.3">
      <c r="E246" s="1"/>
      <c r="F246" s="1"/>
      <c r="G246" s="28"/>
      <c r="H246" s="1"/>
    </row>
    <row r="247" spans="5:8" ht="13.5" customHeight="1" ns3:dyDescent="0.3">
      <c r="E247" s="1"/>
      <c r="F247" s="1"/>
      <c r="G247" s="28"/>
      <c r="H247" s="1"/>
    </row>
    <row r="248" spans="5:8" ht="13.5" customHeight="1" ns3:dyDescent="0.3">
      <c r="E248" s="1"/>
      <c r="F248" s="1"/>
      <c r="G248" s="28"/>
      <c r="H248" s="1"/>
    </row>
    <row r="249" spans="5:8" ht="13.5" customHeight="1" ns3:dyDescent="0.3">
      <c r="E249" s="1"/>
      <c r="F249" s="1"/>
      <c r="G249" s="28"/>
      <c r="H249" s="1"/>
    </row>
    <row r="250" spans="5:8" ht="13.5" customHeight="1" ns3:dyDescent="0.3">
      <c r="E250" s="1"/>
      <c r="F250" s="1"/>
      <c r="G250" s="28"/>
      <c r="H250" s="1"/>
    </row>
    <row r="251" spans="5:8" ht="13.5" customHeight="1" ns3:dyDescent="0.3">
      <c r="E251" s="1"/>
      <c r="F251" s="1"/>
      <c r="G251" s="28"/>
      <c r="H251" s="1"/>
    </row>
    <row r="252" spans="5:8" ht="13.5" customHeight="1" ns3:dyDescent="0.3">
      <c r="E252" s="1"/>
      <c r="F252" s="1"/>
      <c r="G252" s="28"/>
      <c r="H252" s="1"/>
    </row>
    <row r="253" spans="5:8" ht="13.5" customHeight="1" ns3:dyDescent="0.3">
      <c r="E253" s="1"/>
      <c r="F253" s="1"/>
      <c r="G253" s="28"/>
      <c r="H253" s="1"/>
    </row>
    <row r="254" spans="5:8" ht="13.5" customHeight="1" ns3:dyDescent="0.3">
      <c r="E254" s="1"/>
      <c r="F254" s="1"/>
      <c r="G254" s="28"/>
      <c r="H254" s="1"/>
    </row>
    <row r="255" spans="5:8" ht="13.5" customHeight="1" ns3:dyDescent="0.3">
      <c r="E255" s="1"/>
      <c r="F255" s="1"/>
      <c r="G255" s="28"/>
      <c r="H255" s="1"/>
    </row>
    <row r="256" spans="5:8" ht="13.5" customHeight="1" ns3:dyDescent="0.3">
      <c r="E256" s="1"/>
      <c r="F256" s="1"/>
      <c r="G256" s="28"/>
      <c r="H256" s="1"/>
    </row>
    <row r="257" spans="5:8" ht="13.5" customHeight="1" ns3:dyDescent="0.3">
      <c r="E257" s="1"/>
      <c r="F257" s="1"/>
      <c r="G257" s="28"/>
      <c r="H257" s="1"/>
    </row>
    <row r="258" spans="5:8" ht="13.5" customHeight="1" ns3:dyDescent="0.3">
      <c r="E258" s="1"/>
      <c r="F258" s="1"/>
      <c r="G258" s="28"/>
      <c r="H258" s="1"/>
    </row>
    <row r="259" spans="5:8" ht="13.5" customHeight="1" ns3:dyDescent="0.3">
      <c r="E259" s="1"/>
      <c r="F259" s="1"/>
      <c r="G259" s="28"/>
      <c r="H259" s="1"/>
    </row>
    <row r="260" spans="5:8" ht="13.5" customHeight="1" ns3:dyDescent="0.3">
      <c r="E260" s="1"/>
      <c r="F260" s="1"/>
      <c r="G260" s="28"/>
      <c r="H260" s="1"/>
    </row>
    <row r="261" spans="5:8" ht="13.5" customHeight="1" ns3:dyDescent="0.3">
      <c r="E261" s="1"/>
      <c r="F261" s="1"/>
      <c r="G261" s="28"/>
      <c r="H261" s="1"/>
    </row>
    <row r="262" spans="5:8" ht="13.5" customHeight="1" ns3:dyDescent="0.3">
      <c r="E262" s="1"/>
      <c r="F262" s="1"/>
      <c r="G262" s="28"/>
      <c r="H262" s="1"/>
    </row>
    <row r="263" spans="5:8" ht="13.5" customHeight="1" ns3:dyDescent="0.3">
      <c r="E263" s="1"/>
      <c r="F263" s="1"/>
      <c r="G263" s="28"/>
      <c r="H263" s="1"/>
    </row>
    <row r="264" spans="5:8" ht="13.5" customHeight="1" ns3:dyDescent="0.3">
      <c r="E264" s="1"/>
      <c r="F264" s="1"/>
      <c r="G264" s="28"/>
      <c r="H264" s="1"/>
    </row>
    <row r="265" spans="5:8" ht="13.5" customHeight="1" ns3:dyDescent="0.3">
      <c r="E265" s="1"/>
      <c r="F265" s="1"/>
      <c r="G265" s="28"/>
      <c r="H265" s="1"/>
    </row>
    <row r="266" spans="5:8" ht="13.5" customHeight="1" ns3:dyDescent="0.3">
      <c r="E266" s="1"/>
      <c r="F266" s="1"/>
      <c r="G266" s="28"/>
      <c r="H266" s="1"/>
    </row>
    <row r="267" spans="5:8" ht="13.5" customHeight="1" ns3:dyDescent="0.3">
      <c r="E267" s="1"/>
      <c r="F267" s="1"/>
      <c r="G267" s="28"/>
      <c r="H267" s="1"/>
    </row>
    <row r="268" spans="5:8" ht="13.5" customHeight="1" ns3:dyDescent="0.3">
      <c r="E268" s="1"/>
      <c r="F268" s="1"/>
      <c r="G268" s="28"/>
      <c r="H268" s="1"/>
    </row>
    <row r="269" spans="5:8" ht="13.5" customHeight="1" ns3:dyDescent="0.3">
      <c r="E269" s="1"/>
      <c r="F269" s="1"/>
      <c r="G269" s="28"/>
      <c r="H269" s="1"/>
    </row>
    <row r="270" spans="5:8" ht="13.5" customHeight="1" ns3:dyDescent="0.3">
      <c r="E270" s="1"/>
      <c r="F270" s="1"/>
      <c r="G270" s="28"/>
      <c r="H270" s="1"/>
    </row>
    <row r="271" spans="5:8" ht="13.5" customHeight="1" ns3:dyDescent="0.3">
      <c r="E271" s="1"/>
      <c r="F271" s="1"/>
      <c r="G271" s="28"/>
      <c r="H271" s="1"/>
    </row>
    <row r="272" spans="5:8" ht="13.5" customHeight="1" ns3:dyDescent="0.3">
      <c r="E272" s="1"/>
      <c r="F272" s="1"/>
      <c r="G272" s="28"/>
      <c r="H272" s="1"/>
    </row>
    <row r="273" spans="5:8" ht="13.5" customHeight="1" ns3:dyDescent="0.3">
      <c r="E273" s="1"/>
      <c r="F273" s="1"/>
      <c r="G273" s="28"/>
      <c r="H273" s="1"/>
    </row>
    <row r="274" spans="5:8" ht="13.5" customHeight="1" ns3:dyDescent="0.3">
      <c r="E274" s="1"/>
      <c r="F274" s="1"/>
      <c r="G274" s="28"/>
      <c r="H274" s="1"/>
    </row>
    <row r="275" spans="5:8" ht="13.5" customHeight="1" ns3:dyDescent="0.3">
      <c r="E275" s="1"/>
      <c r="F275" s="1"/>
      <c r="G275" s="28"/>
      <c r="H275" s="1"/>
    </row>
    <row r="276" spans="5:8" ht="13.5" customHeight="1" ns3:dyDescent="0.3">
      <c r="E276" s="1"/>
      <c r="F276" s="1"/>
      <c r="G276" s="28"/>
      <c r="H276" s="1"/>
    </row>
    <row r="277" spans="5:8" ht="13.5" customHeight="1" ns3:dyDescent="0.3">
      <c r="E277" s="1"/>
      <c r="F277" s="1"/>
      <c r="G277" s="28"/>
      <c r="H277" s="1"/>
    </row>
    <row r="278" spans="5:8" ht="13.5" customHeight="1" ns3:dyDescent="0.3">
      <c r="E278" s="1"/>
      <c r="F278" s="1"/>
      <c r="G278" s="28"/>
      <c r="H278" s="1"/>
    </row>
    <row r="279" spans="5:8" ht="13.5" customHeight="1" ns3:dyDescent="0.3">
      <c r="E279" s="1"/>
      <c r="F279" s="1"/>
      <c r="G279" s="28"/>
      <c r="H279" s="1"/>
    </row>
    <row r="280" spans="5:8" ht="13.5" customHeight="1" ns3:dyDescent="0.3">
      <c r="E280" s="1"/>
      <c r="F280" s="1"/>
      <c r="G280" s="28"/>
      <c r="H280" s="1"/>
    </row>
    <row r="281" spans="5:8" ht="13.5" customHeight="1" ns3:dyDescent="0.3">
      <c r="E281" s="1"/>
      <c r="F281" s="1"/>
      <c r="G281" s="28"/>
      <c r="H281" s="1"/>
    </row>
    <row r="282" spans="5:8" ht="13.5" customHeight="1" ns3:dyDescent="0.3">
      <c r="E282" s="1"/>
      <c r="F282" s="1"/>
      <c r="G282" s="28"/>
      <c r="H282" s="1"/>
    </row>
    <row r="283" spans="5:8" ht="13.5" customHeight="1" ns3:dyDescent="0.3">
      <c r="E283" s="1"/>
      <c r="F283" s="1"/>
      <c r="G283" s="28"/>
      <c r="H283" s="1"/>
    </row>
    <row r="284" spans="5:8" ht="13.5" customHeight="1" ns3:dyDescent="0.3">
      <c r="E284" s="1"/>
      <c r="F284" s="1"/>
      <c r="G284" s="28"/>
      <c r="H284" s="1"/>
    </row>
    <row r="285" spans="5:8" ht="13.5" customHeight="1" ns3:dyDescent="0.3">
      <c r="E285" s="1"/>
      <c r="F285" s="1"/>
      <c r="G285" s="28"/>
      <c r="H285" s="1"/>
    </row>
    <row r="286" spans="5:8" ht="13.5" customHeight="1" ns3:dyDescent="0.3">
      <c r="E286" s="1"/>
      <c r="F286" s="1"/>
      <c r="G286" s="28"/>
      <c r="H286" s="1"/>
    </row>
    <row r="287" spans="5:8" ht="13.5" customHeight="1" ns3:dyDescent="0.3">
      <c r="E287" s="1"/>
      <c r="F287" s="1"/>
      <c r="G287" s="28"/>
      <c r="H287" s="1"/>
    </row>
    <row r="288" spans="5:8" ht="13.5" customHeight="1" ns3:dyDescent="0.3">
      <c r="E288" s="1"/>
      <c r="F288" s="1"/>
      <c r="G288" s="28"/>
      <c r="H288" s="1"/>
    </row>
    <row r="289" spans="5:8" ht="13.5" customHeight="1" ns3:dyDescent="0.3">
      <c r="E289" s="1"/>
      <c r="F289" s="1"/>
      <c r="G289" s="28"/>
      <c r="H289" s="1"/>
    </row>
    <row r="290" spans="5:8" ht="13.5" customHeight="1" ns3:dyDescent="0.3">
      <c r="E290" s="1"/>
      <c r="F290" s="1"/>
      <c r="G290" s="28"/>
      <c r="H290" s="1"/>
    </row>
    <row r="291" spans="5:8" ht="13.5" customHeight="1" ns3:dyDescent="0.3">
      <c r="E291" s="1"/>
      <c r="F291" s="1"/>
      <c r="G291" s="28"/>
      <c r="H291" s="1"/>
    </row>
    <row r="292" spans="5:8" ht="13.5" customHeight="1" ns3:dyDescent="0.3">
      <c r="E292" s="1"/>
      <c r="F292" s="1"/>
      <c r="G292" s="28"/>
      <c r="H292" s="1"/>
    </row>
    <row r="293" spans="5:8" ht="13.5" customHeight="1" ns3:dyDescent="0.3">
      <c r="E293" s="1"/>
      <c r="F293" s="1"/>
      <c r="G293" s="28"/>
      <c r="H293" s="1"/>
    </row>
    <row r="294" spans="5:8" ht="13.5" customHeight="1" ns3:dyDescent="0.3">
      <c r="E294" s="1"/>
      <c r="F294" s="1"/>
      <c r="G294" s="28"/>
      <c r="H294" s="1"/>
    </row>
    <row r="295" spans="5:8" ht="13.5" customHeight="1" ns3:dyDescent="0.3">
      <c r="E295" s="1"/>
      <c r="F295" s="1"/>
      <c r="G295" s="28"/>
      <c r="H295" s="1"/>
    </row>
    <row r="296" spans="5:8" ht="13.5" customHeight="1" ns3:dyDescent="0.3">
      <c r="E296" s="1"/>
      <c r="F296" s="1"/>
      <c r="G296" s="28"/>
      <c r="H296" s="1"/>
    </row>
    <row r="297" spans="5:8" ht="13.5" customHeight="1" ns3:dyDescent="0.3">
      <c r="E297" s="1"/>
      <c r="F297" s="1"/>
      <c r="G297" s="28"/>
      <c r="H297" s="1"/>
    </row>
    <row r="298" spans="5:8" ht="13.5" customHeight="1" ns3:dyDescent="0.3">
      <c r="E298" s="1"/>
      <c r="F298" s="1"/>
      <c r="G298" s="28"/>
      <c r="H298" s="1"/>
    </row>
    <row r="299" spans="5:8" ht="13.5" customHeight="1" ns3:dyDescent="0.3">
      <c r="E299" s="1"/>
      <c r="F299" s="1"/>
      <c r="G299" s="28"/>
      <c r="H299" s="1"/>
    </row>
    <row r="300" spans="5:8" ht="13.5" customHeight="1" ns3:dyDescent="0.3">
      <c r="E300" s="1"/>
      <c r="F300" s="1"/>
      <c r="G300" s="28"/>
      <c r="H300" s="1"/>
    </row>
    <row r="301" spans="5:8" ht="13.5" customHeight="1" ns3:dyDescent="0.3">
      <c r="E301" s="1"/>
      <c r="F301" s="1"/>
      <c r="G301" s="28"/>
      <c r="H301" s="1"/>
    </row>
    <row r="302" spans="5:8" ht="13.5" customHeight="1" ns3:dyDescent="0.3">
      <c r="E302" s="1"/>
      <c r="F302" s="1"/>
      <c r="G302" s="28"/>
      <c r="H302" s="1"/>
    </row>
    <row r="303" spans="5:8" ht="13.5" customHeight="1" ns3:dyDescent="0.3">
      <c r="E303" s="1"/>
      <c r="F303" s="1"/>
      <c r="G303" s="28"/>
      <c r="H303" s="1"/>
    </row>
    <row r="304" spans="5:8" ht="13.5" customHeight="1" ns3:dyDescent="0.3">
      <c r="E304" s="1"/>
      <c r="F304" s="1"/>
      <c r="G304" s="28"/>
      <c r="H304" s="1"/>
    </row>
    <row r="305" spans="5:8" ht="13.5" customHeight="1" ns3:dyDescent="0.3">
      <c r="E305" s="1"/>
      <c r="F305" s="1"/>
      <c r="G305" s="28"/>
      <c r="H305" s="1"/>
    </row>
    <row r="306" spans="5:8" ht="13.5" customHeight="1" ns3:dyDescent="0.3">
      <c r="E306" s="1"/>
      <c r="F306" s="1"/>
      <c r="G306" s="28"/>
      <c r="H306" s="1"/>
    </row>
    <row r="307" spans="5:8" ht="13.5" customHeight="1" ns3:dyDescent="0.3">
      <c r="E307" s="1"/>
      <c r="F307" s="1"/>
      <c r="G307" s="28"/>
      <c r="H307" s="1"/>
    </row>
    <row r="308" spans="5:8" ht="13.5" customHeight="1" ns3:dyDescent="0.3">
      <c r="E308" s="1"/>
      <c r="F308" s="1"/>
      <c r="G308" s="28"/>
      <c r="H308" s="1"/>
    </row>
    <row r="309" spans="5:8" ht="13.5" customHeight="1" ns3:dyDescent="0.3">
      <c r="E309" s="1"/>
      <c r="F309" s="1"/>
      <c r="G309" s="28"/>
      <c r="H309" s="1"/>
    </row>
    <row r="310" spans="5:8" ht="13.5" customHeight="1" ns3:dyDescent="0.3">
      <c r="E310" s="1"/>
      <c r="F310" s="1"/>
      <c r="G310" s="28"/>
      <c r="H310" s="1"/>
    </row>
    <row r="311" spans="5:8" ht="13.5" customHeight="1" ns3:dyDescent="0.3">
      <c r="E311" s="1"/>
      <c r="F311" s="1"/>
      <c r="G311" s="28"/>
      <c r="H311" s="1"/>
    </row>
    <row r="312" spans="5:8" ht="13.5" customHeight="1" ns3:dyDescent="0.3">
      <c r="E312" s="1"/>
      <c r="F312" s="1"/>
      <c r="G312" s="28"/>
      <c r="H312" s="1"/>
    </row>
    <row r="313" spans="5:8" ht="13.5" customHeight="1" ns3:dyDescent="0.3">
      <c r="E313" s="1"/>
      <c r="F313" s="1"/>
      <c r="G313" s="28"/>
      <c r="H313" s="1"/>
    </row>
    <row r="314" spans="5:8" ht="13.5" customHeight="1" ns3:dyDescent="0.3">
      <c r="E314" s="1"/>
      <c r="F314" s="1"/>
      <c r="G314" s="28"/>
      <c r="H314" s="1"/>
    </row>
    <row r="315" spans="5:8" ht="13.5" customHeight="1" ns3:dyDescent="0.3">
      <c r="E315" s="1"/>
      <c r="F315" s="1"/>
      <c r="G315" s="28"/>
      <c r="H315" s="1"/>
    </row>
    <row r="316" spans="5:8" ht="13.5" customHeight="1" ns3:dyDescent="0.3">
      <c r="E316" s="1"/>
      <c r="F316" s="1"/>
      <c r="G316" s="28"/>
      <c r="H316" s="1"/>
    </row>
    <row r="317" spans="5:8" ht="13.5" customHeight="1" ns3:dyDescent="0.3">
      <c r="E317" s="1"/>
      <c r="F317" s="1"/>
      <c r="G317" s="28"/>
      <c r="H317" s="1"/>
    </row>
    <row r="318" spans="5:8" ht="13.5" customHeight="1" ns3:dyDescent="0.3">
      <c r="E318" s="1"/>
      <c r="F318" s="1"/>
      <c r="G318" s="28"/>
      <c r="H318" s="1"/>
    </row>
    <row r="319" spans="5:8" ht="13.5" customHeight="1" ns3:dyDescent="0.3">
      <c r="E319" s="1"/>
      <c r="F319" s="1"/>
      <c r="G319" s="28"/>
      <c r="H319" s="1"/>
    </row>
    <row r="320" spans="5:8" ht="13.5" customHeight="1" ns3:dyDescent="0.3">
      <c r="E320" s="1"/>
      <c r="F320" s="1"/>
      <c r="G320" s="28"/>
      <c r="H320" s="1"/>
    </row>
    <row r="321" spans="5:8" ht="13.5" customHeight="1" ns3:dyDescent="0.3">
      <c r="E321" s="1"/>
      <c r="F321" s="1"/>
      <c r="G321" s="28"/>
      <c r="H321" s="1"/>
    </row>
    <row r="322" spans="5:8" ht="13.5" customHeight="1" ns3:dyDescent="0.3">
      <c r="E322" s="1"/>
      <c r="F322" s="1"/>
      <c r="G322" s="28"/>
      <c r="H322" s="1"/>
    </row>
    <row r="323" spans="5:8" ht="13.5" customHeight="1" ns3:dyDescent="0.3">
      <c r="E323" s="1"/>
      <c r="F323" s="1"/>
      <c r="G323" s="28"/>
      <c r="H323" s="1"/>
    </row>
    <row r="324" spans="5:8" ht="13.5" customHeight="1" ns3:dyDescent="0.3">
      <c r="E324" s="1"/>
      <c r="F324" s="1"/>
      <c r="G324" s="28"/>
      <c r="H324" s="1"/>
    </row>
    <row r="325" spans="5:8" ht="13.5" customHeight="1" ns3:dyDescent="0.3">
      <c r="E325" s="1"/>
      <c r="F325" s="1"/>
      <c r="G325" s="28"/>
      <c r="H325" s="1"/>
    </row>
    <row r="326" spans="5:8" ht="13.5" customHeight="1" ns3:dyDescent="0.3">
      <c r="E326" s="1"/>
      <c r="F326" s="1"/>
      <c r="G326" s="28"/>
      <c r="H326" s="1"/>
    </row>
    <row r="327" spans="5:8" ht="13.5" customHeight="1" ns3:dyDescent="0.3">
      <c r="E327" s="1"/>
      <c r="F327" s="1"/>
      <c r="G327" s="28"/>
      <c r="H327" s="1"/>
    </row>
    <row r="328" spans="5:8" ht="13.5" customHeight="1" ns3:dyDescent="0.3">
      <c r="E328" s="1"/>
      <c r="F328" s="1"/>
      <c r="G328" s="28"/>
      <c r="H328" s="1"/>
    </row>
    <row r="329" spans="5:8" ht="13.5" customHeight="1" ns3:dyDescent="0.3">
      <c r="E329" s="1"/>
      <c r="F329" s="1"/>
      <c r="G329" s="28"/>
      <c r="H329" s="1"/>
    </row>
    <row r="330" spans="5:8" ht="13.5" customHeight="1" ns3:dyDescent="0.3">
      <c r="E330" s="1"/>
      <c r="F330" s="1"/>
      <c r="G330" s="28"/>
      <c r="H330" s="1"/>
    </row>
    <row r="331" spans="5:8" ht="13.5" customHeight="1" ns3:dyDescent="0.3">
      <c r="E331" s="1"/>
      <c r="F331" s="1"/>
      <c r="G331" s="28"/>
      <c r="H331" s="1"/>
    </row>
    <row r="332" spans="5:8" ht="13.5" customHeight="1" ns3:dyDescent="0.3">
      <c r="E332" s="1"/>
      <c r="F332" s="1"/>
      <c r="G332" s="28"/>
      <c r="H332" s="1"/>
    </row>
    <row r="333" spans="5:8" ht="13.5" customHeight="1" ns3:dyDescent="0.3">
      <c r="E333" s="1"/>
      <c r="F333" s="1"/>
      <c r="G333" s="28"/>
      <c r="H333" s="1"/>
    </row>
    <row r="334" spans="5:8" ht="13.5" customHeight="1" ns3:dyDescent="0.3">
      <c r="E334" s="1"/>
      <c r="F334" s="1"/>
      <c r="G334" s="28"/>
      <c r="H334" s="1"/>
    </row>
    <row r="335" spans="5:8" ht="13.5" customHeight="1" ns3:dyDescent="0.3">
      <c r="E335" s="1"/>
      <c r="F335" s="1"/>
      <c r="G335" s="28"/>
      <c r="H335" s="1"/>
    </row>
    <row r="336" spans="5:8" ht="13.5" customHeight="1" ns3:dyDescent="0.3">
      <c r="E336" s="1"/>
      <c r="F336" s="1"/>
      <c r="G336" s="28"/>
      <c r="H336" s="1"/>
    </row>
    <row r="337" spans="5:8" ht="13.5" customHeight="1" ns3:dyDescent="0.3">
      <c r="E337" s="1"/>
      <c r="F337" s="1"/>
      <c r="G337" s="28"/>
      <c r="H337" s="1"/>
    </row>
    <row r="338" spans="5:8" ht="13.5" customHeight="1" ns3:dyDescent="0.3">
      <c r="E338" s="1"/>
      <c r="F338" s="1"/>
      <c r="G338" s="28"/>
      <c r="H338" s="1"/>
    </row>
    <row r="339" spans="5:8" ht="13.5" customHeight="1" ns3:dyDescent="0.3">
      <c r="E339" s="1"/>
      <c r="F339" s="1"/>
      <c r="G339" s="28"/>
      <c r="H339" s="1"/>
    </row>
    <row r="340" spans="5:8" ht="13.5" customHeight="1" ns3:dyDescent="0.3">
      <c r="E340" s="1"/>
      <c r="F340" s="1"/>
      <c r="G340" s="28"/>
      <c r="H340" s="1"/>
    </row>
    <row r="341" spans="5:8" ht="13.5" customHeight="1" ns3:dyDescent="0.3">
      <c r="E341" s="1"/>
      <c r="F341" s="1"/>
      <c r="G341" s="28"/>
      <c r="H341" s="1"/>
    </row>
    <row r="342" spans="5:8" ht="13.5" customHeight="1" ns3:dyDescent="0.3">
      <c r="E342" s="1"/>
      <c r="F342" s="1"/>
      <c r="G342" s="28"/>
      <c r="H342" s="1"/>
    </row>
    <row r="343" spans="5:8" ht="13.5" customHeight="1" ns3:dyDescent="0.3">
      <c r="E343" s="1"/>
      <c r="F343" s="1"/>
      <c r="G343" s="28"/>
      <c r="H343" s="1"/>
    </row>
    <row r="344" spans="5:8" ht="13.5" customHeight="1" ns3:dyDescent="0.3">
      <c r="E344" s="1"/>
      <c r="F344" s="1"/>
      <c r="G344" s="28"/>
      <c r="H344" s="1"/>
    </row>
    <row r="345" spans="5:8" ht="13.5" customHeight="1" ns3:dyDescent="0.3">
      <c r="E345" s="1"/>
      <c r="F345" s="1"/>
      <c r="G345" s="28"/>
      <c r="H345" s="1"/>
    </row>
    <row r="346" spans="5:8" ht="13.5" customHeight="1" ns3:dyDescent="0.3">
      <c r="E346" s="1"/>
      <c r="F346" s="1"/>
      <c r="G346" s="28"/>
      <c r="H346" s="1"/>
    </row>
    <row r="347" spans="5:8" ht="13.5" customHeight="1" ns3:dyDescent="0.3">
      <c r="E347" s="1"/>
      <c r="F347" s="1"/>
      <c r="G347" s="28"/>
      <c r="H347" s="1"/>
    </row>
    <row r="348" spans="5:8" ht="13.5" customHeight="1" ns3:dyDescent="0.3">
      <c r="E348" s="1"/>
      <c r="F348" s="1"/>
      <c r="G348" s="28"/>
      <c r="H348" s="1"/>
    </row>
    <row r="349" spans="5:8" ht="13.5" customHeight="1" ns3:dyDescent="0.3">
      <c r="E349" s="1"/>
      <c r="F349" s="1"/>
      <c r="G349" s="28"/>
      <c r="H349" s="1"/>
    </row>
    <row r="350" spans="5:8" ht="13.5" customHeight="1" ns3:dyDescent="0.3">
      <c r="E350" s="1"/>
      <c r="F350" s="1"/>
      <c r="G350" s="28"/>
      <c r="H350" s="1"/>
    </row>
    <row r="351" spans="5:8" ht="13.5" customHeight="1" ns3:dyDescent="0.3">
      <c r="E351" s="1"/>
      <c r="F351" s="1"/>
      <c r="G351" s="28"/>
      <c r="H351" s="1"/>
    </row>
    <row r="352" spans="5:8" ht="13.5" customHeight="1" ns3:dyDescent="0.3">
      <c r="E352" s="1"/>
      <c r="F352" s="1"/>
      <c r="G352" s="28"/>
      <c r="H352" s="1"/>
    </row>
    <row r="353" spans="5:8" ht="13.5" customHeight="1" ns3:dyDescent="0.3">
      <c r="E353" s="1"/>
      <c r="F353" s="1"/>
      <c r="G353" s="28"/>
      <c r="H353" s="1"/>
    </row>
    <row r="354" spans="5:8" ht="13.5" customHeight="1" ns3:dyDescent="0.3">
      <c r="E354" s="1"/>
      <c r="F354" s="1"/>
      <c r="G354" s="28"/>
      <c r="H354" s="1"/>
    </row>
    <row r="355" spans="5:8" ht="13.5" customHeight="1" ns3:dyDescent="0.3">
      <c r="E355" s="1"/>
      <c r="F355" s="1"/>
      <c r="G355" s="28"/>
      <c r="H355" s="1"/>
    </row>
    <row r="356" spans="5:8" ht="13.5" customHeight="1" ns3:dyDescent="0.3">
      <c r="E356" s="1"/>
      <c r="F356" s="1"/>
      <c r="G356" s="28"/>
      <c r="H356" s="1"/>
    </row>
    <row r="357" spans="5:8" ht="13.5" customHeight="1" ns3:dyDescent="0.3">
      <c r="E357" s="1"/>
      <c r="F357" s="1"/>
      <c r="G357" s="28"/>
      <c r="H357" s="1"/>
    </row>
    <row r="358" spans="5:8" ht="13.5" customHeight="1" ns3:dyDescent="0.3">
      <c r="E358" s="1"/>
      <c r="F358" s="1"/>
      <c r="G358" s="28"/>
      <c r="H358" s="1"/>
    </row>
    <row r="359" spans="5:8" ht="13.5" customHeight="1" ns3:dyDescent="0.3">
      <c r="E359" s="1"/>
      <c r="F359" s="1"/>
      <c r="G359" s="28"/>
      <c r="H359" s="1"/>
    </row>
    <row r="360" spans="5:8" ht="13.5" customHeight="1" ns3:dyDescent="0.3">
      <c r="E360" s="1"/>
      <c r="F360" s="1"/>
      <c r="G360" s="28"/>
      <c r="H360" s="1"/>
    </row>
    <row r="361" spans="5:8" ht="13.5" customHeight="1" ns3:dyDescent="0.3">
      <c r="E361" s="1"/>
      <c r="F361" s="1"/>
      <c r="G361" s="28"/>
      <c r="H361" s="1"/>
    </row>
    <row r="362" spans="5:8" ht="13.5" customHeight="1" ns3:dyDescent="0.3">
      <c r="E362" s="1"/>
      <c r="F362" s="1"/>
      <c r="G362" s="28"/>
      <c r="H362" s="1"/>
    </row>
    <row r="363" spans="5:8" ht="13.5" customHeight="1" ns3:dyDescent="0.3">
      <c r="E363" s="1"/>
      <c r="F363" s="1"/>
      <c r="G363" s="28"/>
      <c r="H363" s="1"/>
    </row>
    <row r="364" spans="5:8" ht="13.5" customHeight="1" ns3:dyDescent="0.3">
      <c r="E364" s="1"/>
      <c r="F364" s="1"/>
      <c r="G364" s="28"/>
      <c r="H364" s="1"/>
    </row>
    <row r="365" spans="5:8" ht="13.5" customHeight="1" ns3:dyDescent="0.3">
      <c r="E365" s="1"/>
      <c r="F365" s="1"/>
      <c r="G365" s="28"/>
      <c r="H365" s="1"/>
    </row>
    <row r="366" spans="5:8" ht="13.5" customHeight="1" ns3:dyDescent="0.3">
      <c r="E366" s="1"/>
      <c r="F366" s="1"/>
      <c r="G366" s="28"/>
      <c r="H366" s="1"/>
    </row>
    <row r="367" spans="5:8" ht="13.5" customHeight="1" ns3:dyDescent="0.3">
      <c r="E367" s="1"/>
      <c r="F367" s="1"/>
      <c r="G367" s="28"/>
      <c r="H367" s="1"/>
    </row>
    <row r="368" spans="5:8" ht="13.5" customHeight="1" ns3:dyDescent="0.3">
      <c r="E368" s="1"/>
      <c r="F368" s="1"/>
      <c r="G368" s="28"/>
      <c r="H368" s="1"/>
    </row>
    <row r="369" spans="5:8" ht="13.5" customHeight="1" ns3:dyDescent="0.3">
      <c r="E369" s="1"/>
      <c r="F369" s="1"/>
      <c r="G369" s="28"/>
      <c r="H369" s="1"/>
    </row>
    <row r="370" spans="5:8" ht="13.5" customHeight="1" ns3:dyDescent="0.3">
      <c r="E370" s="1"/>
      <c r="F370" s="1"/>
      <c r="G370" s="28"/>
      <c r="H370" s="1"/>
    </row>
    <row r="371" spans="5:8" ht="13.5" customHeight="1" ns3:dyDescent="0.3">
      <c r="E371" s="1"/>
      <c r="F371" s="1"/>
      <c r="G371" s="28"/>
      <c r="H371" s="1"/>
    </row>
    <row r="372" spans="5:8" ht="13.5" customHeight="1" ns3:dyDescent="0.3">
      <c r="E372" s="1"/>
      <c r="F372" s="1"/>
      <c r="G372" s="28"/>
      <c r="H372" s="1"/>
    </row>
    <row r="373" spans="5:8" ht="13.5" customHeight="1" ns3:dyDescent="0.3">
      <c r="E373" s="1"/>
      <c r="F373" s="1"/>
      <c r="G373" s="28"/>
      <c r="H373" s="1"/>
    </row>
    <row r="374" spans="5:8" ht="13.5" customHeight="1" ns3:dyDescent="0.3">
      <c r="E374" s="1"/>
      <c r="F374" s="1"/>
      <c r="G374" s="28"/>
      <c r="H374" s="1"/>
    </row>
    <row r="375" spans="5:8" ht="13.5" customHeight="1" ns3:dyDescent="0.3">
      <c r="E375" s="1"/>
      <c r="F375" s="1"/>
      <c r="G375" s="28"/>
      <c r="H375" s="1"/>
    </row>
    <row r="376" spans="5:8" ht="13.5" customHeight="1" ns3:dyDescent="0.3">
      <c r="E376" s="1"/>
      <c r="F376" s="1"/>
      <c r="G376" s="28"/>
      <c r="H376" s="1"/>
    </row>
    <row r="377" spans="5:8" ht="13.5" customHeight="1" ns3:dyDescent="0.3">
      <c r="E377" s="1"/>
      <c r="F377" s="1"/>
      <c r="G377" s="28"/>
      <c r="H377" s="1"/>
    </row>
    <row r="378" spans="5:8" ht="13.5" customHeight="1" ns3:dyDescent="0.3">
      <c r="E378" s="1"/>
      <c r="F378" s="1"/>
      <c r="G378" s="28"/>
      <c r="H378" s="1"/>
    </row>
    <row r="379" spans="5:8" ht="13.5" customHeight="1" ns3:dyDescent="0.3">
      <c r="E379" s="1"/>
      <c r="F379" s="1"/>
      <c r="G379" s="28"/>
      <c r="H379" s="1"/>
    </row>
    <row r="380" spans="5:8" ht="13.5" customHeight="1" ns3:dyDescent="0.3">
      <c r="E380" s="1"/>
      <c r="F380" s="1"/>
      <c r="G380" s="28"/>
      <c r="H380" s="1"/>
    </row>
    <row r="381" spans="5:8" ht="13.5" customHeight="1" ns3:dyDescent="0.3">
      <c r="E381" s="1"/>
      <c r="F381" s="1"/>
      <c r="G381" s="28"/>
      <c r="H381" s="1"/>
    </row>
    <row r="382" spans="5:8" ht="13.5" customHeight="1" ns3:dyDescent="0.3">
      <c r="E382" s="1"/>
      <c r="F382" s="1"/>
      <c r="G382" s="28"/>
      <c r="H382" s="1"/>
    </row>
    <row r="383" spans="5:8" ht="13.5" customHeight="1" ns3:dyDescent="0.3">
      <c r="E383" s="1"/>
      <c r="F383" s="1"/>
      <c r="G383" s="28"/>
      <c r="H383" s="1"/>
    </row>
    <row r="384" spans="5:8" ht="13.5" customHeight="1" ns3:dyDescent="0.3">
      <c r="E384" s="1"/>
      <c r="F384" s="1"/>
      <c r="G384" s="28"/>
      <c r="H384" s="1"/>
    </row>
    <row r="385" spans="5:8" ht="13.5" customHeight="1" ns3:dyDescent="0.3">
      <c r="E385" s="1"/>
      <c r="F385" s="1"/>
      <c r="G385" s="28"/>
      <c r="H385" s="1"/>
    </row>
    <row r="386" spans="5:8" ht="13.5" customHeight="1" ns3:dyDescent="0.3">
      <c r="E386" s="1"/>
      <c r="F386" s="1"/>
      <c r="G386" s="28"/>
      <c r="H386" s="1"/>
    </row>
    <row r="387" spans="5:8" ht="13.5" customHeight="1" ns3:dyDescent="0.3">
      <c r="E387" s="1"/>
      <c r="F387" s="1"/>
      <c r="G387" s="28"/>
      <c r="H387" s="1"/>
    </row>
    <row r="388" spans="5:8" ht="13.5" customHeight="1" ns3:dyDescent="0.3">
      <c r="E388" s="1"/>
      <c r="F388" s="1"/>
      <c r="G388" s="28"/>
      <c r="H388" s="1"/>
    </row>
    <row r="389" spans="5:8" ht="13.5" customHeight="1" ns3:dyDescent="0.3">
      <c r="E389" s="1"/>
      <c r="F389" s="1"/>
      <c r="G389" s="28"/>
      <c r="H389" s="1"/>
    </row>
    <row r="390" spans="5:8" ht="13.5" customHeight="1" ns3:dyDescent="0.3">
      <c r="E390" s="1"/>
      <c r="F390" s="1"/>
      <c r="G390" s="28"/>
      <c r="H390" s="1"/>
    </row>
    <row r="391" spans="5:8" ht="13.5" customHeight="1" ns3:dyDescent="0.3">
      <c r="E391" s="1"/>
      <c r="F391" s="1"/>
      <c r="G391" s="28"/>
      <c r="H391" s="1"/>
    </row>
    <row r="392" spans="5:8" ht="13.5" customHeight="1" ns3:dyDescent="0.3">
      <c r="E392" s="1"/>
      <c r="F392" s="1"/>
      <c r="G392" s="28"/>
      <c r="H392" s="1"/>
    </row>
    <row r="393" spans="5:8" ht="13.5" customHeight="1" ns3:dyDescent="0.3">
      <c r="E393" s="1"/>
      <c r="F393" s="1"/>
      <c r="G393" s="28"/>
      <c r="H393" s="1"/>
    </row>
    <row r="394" spans="5:8" ht="13.5" customHeight="1" ns3:dyDescent="0.3">
      <c r="E394" s="1"/>
      <c r="F394" s="1"/>
      <c r="G394" s="28"/>
      <c r="H394" s="1"/>
    </row>
    <row r="395" spans="5:8" ht="13.5" customHeight="1" ns3:dyDescent="0.3">
      <c r="E395" s="1"/>
      <c r="F395" s="1"/>
      <c r="G395" s="28"/>
      <c r="H395" s="1"/>
    </row>
    <row r="396" spans="5:8" ht="13.5" customHeight="1" ns3:dyDescent="0.3">
      <c r="E396" s="1"/>
      <c r="F396" s="1"/>
      <c r="G396" s="28"/>
      <c r="H396" s="1"/>
    </row>
    <row r="397" spans="5:8" ht="13.5" customHeight="1" ns3:dyDescent="0.3">
      <c r="E397" s="1"/>
      <c r="F397" s="1"/>
      <c r="G397" s="28"/>
      <c r="H397" s="1"/>
    </row>
    <row r="398" spans="5:8" ht="13.5" customHeight="1" ns3:dyDescent="0.3">
      <c r="E398" s="1"/>
      <c r="F398" s="1"/>
      <c r="G398" s="28"/>
      <c r="H398" s="1"/>
    </row>
    <row r="399" spans="5:8" ht="13.5" customHeight="1" ns3:dyDescent="0.3">
      <c r="E399" s="1"/>
      <c r="F399" s="1"/>
      <c r="G399" s="28"/>
      <c r="H399" s="1"/>
    </row>
    <row r="400" spans="5:8" ht="13.5" customHeight="1" ns3:dyDescent="0.3">
      <c r="E400" s="1"/>
      <c r="F400" s="1"/>
      <c r="G400" s="28"/>
      <c r="H400" s="1"/>
    </row>
    <row r="401" spans="5:8" ht="13.5" customHeight="1" ns3:dyDescent="0.3">
      <c r="E401" s="1"/>
      <c r="F401" s="1"/>
      <c r="G401" s="28"/>
      <c r="H401" s="1"/>
    </row>
    <row r="402" spans="5:8" ht="13.5" customHeight="1" ns3:dyDescent="0.3">
      <c r="E402" s="1"/>
      <c r="F402" s="1"/>
      <c r="G402" s="28"/>
      <c r="H402" s="1"/>
    </row>
    <row r="403" spans="5:8" ht="13.5" customHeight="1" ns3:dyDescent="0.3">
      <c r="E403" s="1"/>
      <c r="F403" s="1"/>
      <c r="G403" s="28"/>
      <c r="H403" s="1"/>
    </row>
    <row r="404" spans="5:8" ht="13.5" customHeight="1" ns3:dyDescent="0.3">
      <c r="E404" s="1"/>
      <c r="F404" s="1"/>
      <c r="G404" s="28"/>
      <c r="H404" s="1"/>
    </row>
    <row r="405" spans="5:8" ht="13.5" customHeight="1" ns3:dyDescent="0.3">
      <c r="E405" s="1"/>
      <c r="F405" s="1"/>
      <c r="G405" s="28"/>
      <c r="H405" s="1"/>
    </row>
    <row r="406" spans="5:8" ht="13.5" customHeight="1" ns3:dyDescent="0.3">
      <c r="E406" s="1"/>
      <c r="F406" s="1"/>
      <c r="G406" s="28"/>
      <c r="H406" s="1"/>
    </row>
    <row r="407" spans="5:8" ht="13.5" customHeight="1" ns3:dyDescent="0.3">
      <c r="E407" s="1"/>
      <c r="F407" s="1"/>
      <c r="G407" s="28"/>
      <c r="H407" s="1"/>
    </row>
    <row r="408" spans="5:8" ht="13.5" customHeight="1" ns3:dyDescent="0.3">
      <c r="E408" s="1"/>
      <c r="F408" s="1"/>
      <c r="G408" s="28"/>
      <c r="H408" s="1"/>
    </row>
    <row r="409" spans="5:8" ht="13.5" customHeight="1" ns3:dyDescent="0.3">
      <c r="E409" s="1"/>
      <c r="F409" s="1"/>
      <c r="G409" s="28"/>
      <c r="H409" s="1"/>
    </row>
    <row r="410" spans="5:8" ht="13.5" customHeight="1" ns3:dyDescent="0.3">
      <c r="E410" s="1"/>
      <c r="F410" s="1"/>
      <c r="G410" s="28"/>
      <c r="H410" s="1"/>
    </row>
    <row r="411" spans="5:8" ht="13.5" customHeight="1" ns3:dyDescent="0.3">
      <c r="E411" s="1"/>
      <c r="F411" s="1"/>
      <c r="G411" s="28"/>
      <c r="H411" s="1"/>
    </row>
    <row r="412" spans="5:8" ht="13.5" customHeight="1" ns3:dyDescent="0.3">
      <c r="E412" s="1"/>
      <c r="F412" s="1"/>
      <c r="G412" s="28"/>
      <c r="H412" s="1"/>
    </row>
    <row r="413" spans="5:8" ht="13.5" customHeight="1" ns3:dyDescent="0.3">
      <c r="E413" s="1"/>
      <c r="F413" s="1"/>
      <c r="G413" s="28"/>
      <c r="H413" s="1"/>
    </row>
    <row r="414" spans="5:8" ht="13.5" customHeight="1" ns3:dyDescent="0.3">
      <c r="E414" s="1"/>
      <c r="F414" s="1"/>
      <c r="G414" s="28"/>
      <c r="H414" s="1"/>
    </row>
    <row r="415" spans="5:8" ht="13.5" customHeight="1" ns3:dyDescent="0.3">
      <c r="E415" s="1"/>
      <c r="F415" s="1"/>
      <c r="G415" s="28"/>
      <c r="H415" s="1"/>
    </row>
    <row r="416" spans="5:8" ht="13.5" customHeight="1" ns3:dyDescent="0.3">
      <c r="E416" s="1"/>
      <c r="F416" s="1"/>
      <c r="G416" s="28"/>
      <c r="H416" s="1"/>
    </row>
    <row r="417" spans="5:8" ht="13.5" customHeight="1" ns3:dyDescent="0.3">
      <c r="E417" s="1"/>
      <c r="F417" s="1"/>
      <c r="G417" s="28"/>
      <c r="H417" s="1"/>
    </row>
    <row r="418" spans="5:8" ht="13.5" customHeight="1" ns3:dyDescent="0.3">
      <c r="E418" s="1"/>
      <c r="F418" s="1"/>
      <c r="G418" s="28"/>
      <c r="H418" s="1"/>
    </row>
    <row r="419" spans="5:8" ht="13.5" customHeight="1" ns3:dyDescent="0.3">
      <c r="E419" s="1"/>
      <c r="F419" s="1"/>
      <c r="G419" s="28"/>
      <c r="H419" s="1"/>
    </row>
    <row r="420" spans="5:8" ht="13.5" customHeight="1" ns3:dyDescent="0.3">
      <c r="E420" s="1"/>
      <c r="F420" s="1"/>
      <c r="G420" s="28"/>
      <c r="H420" s="1"/>
    </row>
    <row r="421" spans="5:8" ht="13.5" customHeight="1" ns3:dyDescent="0.3">
      <c r="E421" s="1"/>
      <c r="F421" s="1"/>
      <c r="G421" s="28"/>
      <c r="H421" s="1"/>
    </row>
    <row r="422" spans="5:8" ht="13.5" customHeight="1" ns3:dyDescent="0.3">
      <c r="E422" s="1"/>
      <c r="F422" s="1"/>
      <c r="G422" s="28"/>
      <c r="H422" s="1"/>
    </row>
    <row r="423" spans="5:8" ht="13.5" customHeight="1" ns3:dyDescent="0.3">
      <c r="E423" s="1"/>
      <c r="F423" s="1"/>
      <c r="G423" s="28"/>
      <c r="H423" s="1"/>
    </row>
    <row r="424" spans="5:8" ht="13.5" customHeight="1" ns3:dyDescent="0.3">
      <c r="E424" s="1"/>
      <c r="F424" s="1"/>
      <c r="G424" s="28"/>
      <c r="H424" s="1"/>
    </row>
    <row r="425" spans="5:8" ht="13.5" customHeight="1" ns3:dyDescent="0.3">
      <c r="E425" s="1"/>
      <c r="F425" s="1"/>
      <c r="G425" s="28"/>
      <c r="H425" s="1"/>
    </row>
    <row r="426" spans="5:8" ht="13.5" customHeight="1" ns3:dyDescent="0.3">
      <c r="E426" s="1"/>
      <c r="F426" s="1"/>
      <c r="G426" s="28"/>
      <c r="H426" s="1"/>
    </row>
    <row r="427" spans="5:8" ht="13.5" customHeight="1" ns3:dyDescent="0.3">
      <c r="E427" s="1"/>
      <c r="F427" s="1"/>
      <c r="G427" s="28"/>
      <c r="H427" s="1"/>
    </row>
    <row r="428" spans="5:8" ht="13.5" customHeight="1" ns3:dyDescent="0.3">
      <c r="E428" s="1"/>
      <c r="F428" s="1"/>
      <c r="G428" s="28"/>
      <c r="H428" s="1"/>
    </row>
    <row r="429" spans="5:8" ht="13.5" customHeight="1" ns3:dyDescent="0.3">
      <c r="E429" s="1"/>
      <c r="F429" s="1"/>
      <c r="G429" s="28"/>
      <c r="H429" s="1"/>
    </row>
    <row r="430" spans="5:8" ht="13.5" customHeight="1" ns3:dyDescent="0.3">
      <c r="E430" s="1"/>
      <c r="F430" s="1"/>
      <c r="G430" s="28"/>
      <c r="H430" s="1"/>
    </row>
    <row r="431" spans="5:8" ht="13.5" customHeight="1" ns3:dyDescent="0.3">
      <c r="E431" s="1"/>
      <c r="F431" s="1"/>
      <c r="G431" s="28"/>
      <c r="H431" s="1"/>
    </row>
    <row r="432" spans="5:8" ht="13.5" customHeight="1" ns3:dyDescent="0.3">
      <c r="E432" s="1"/>
      <c r="F432" s="1"/>
      <c r="G432" s="28"/>
      <c r="H432" s="1"/>
    </row>
    <row r="433" spans="5:8" ht="13.5" customHeight="1" ns3:dyDescent="0.3">
      <c r="E433" s="1"/>
      <c r="F433" s="1"/>
      <c r="G433" s="28"/>
      <c r="H433" s="1"/>
    </row>
    <row r="434" spans="5:8" ht="13.5" customHeight="1" ns3:dyDescent="0.3">
      <c r="E434" s="1"/>
      <c r="F434" s="1"/>
      <c r="G434" s="28"/>
      <c r="H434" s="1"/>
    </row>
    <row r="435" spans="5:8" ht="13.5" customHeight="1" ns3:dyDescent="0.3">
      <c r="E435" s="1"/>
      <c r="F435" s="1"/>
      <c r="G435" s="28"/>
      <c r="H435" s="1"/>
    </row>
    <row r="436" spans="5:8" ht="13.5" customHeight="1" ns3:dyDescent="0.3">
      <c r="E436" s="1"/>
      <c r="F436" s="1"/>
      <c r="G436" s="28"/>
      <c r="H436" s="1"/>
    </row>
    <row r="437" spans="5:8" ht="13.5" customHeight="1" ns3:dyDescent="0.3">
      <c r="E437" s="1"/>
      <c r="F437" s="1"/>
      <c r="G437" s="28"/>
      <c r="H437" s="1"/>
    </row>
    <row r="438" spans="5:8" ht="13.5" customHeight="1" ns3:dyDescent="0.3">
      <c r="E438" s="1"/>
      <c r="F438" s="1"/>
      <c r="G438" s="28"/>
      <c r="H438" s="1"/>
    </row>
    <row r="439" spans="5:8" ht="13.5" customHeight="1" ns3:dyDescent="0.3">
      <c r="E439" s="1"/>
      <c r="F439" s="1"/>
      <c r="G439" s="28"/>
      <c r="H439" s="1"/>
    </row>
    <row r="440" spans="5:8" ht="13.5" customHeight="1" ns3:dyDescent="0.3">
      <c r="E440" s="1"/>
      <c r="F440" s="1"/>
      <c r="G440" s="28"/>
      <c r="H440" s="1"/>
    </row>
    <row r="441" spans="5:8" ht="13.5" customHeight="1" ns3:dyDescent="0.3">
      <c r="E441" s="1"/>
      <c r="F441" s="1"/>
      <c r="G441" s="28"/>
      <c r="H441" s="1"/>
    </row>
    <row r="442" spans="5:8" ht="13.5" customHeight="1" ns3:dyDescent="0.3">
      <c r="E442" s="1"/>
      <c r="F442" s="1"/>
      <c r="G442" s="28"/>
      <c r="H442" s="1"/>
    </row>
    <row r="443" spans="5:8" ht="13.5" customHeight="1" ns3:dyDescent="0.3">
      <c r="E443" s="1"/>
      <c r="F443" s="1"/>
      <c r="G443" s="28"/>
      <c r="H443" s="1"/>
    </row>
    <row r="444" spans="5:8" ht="13.5" customHeight="1" ns3:dyDescent="0.3">
      <c r="E444" s="1"/>
      <c r="F444" s="1"/>
      <c r="G444" s="28"/>
      <c r="H444" s="1"/>
    </row>
    <row r="445" spans="5:8" ht="13.5" customHeight="1" ns3:dyDescent="0.3">
      <c r="E445" s="1"/>
      <c r="F445" s="1"/>
      <c r="G445" s="28"/>
      <c r="H445" s="1"/>
    </row>
    <row r="446" spans="5:8" ht="13.5" customHeight="1" ns3:dyDescent="0.3">
      <c r="E446" s="1"/>
      <c r="F446" s="1"/>
      <c r="G446" s="28"/>
      <c r="H446" s="1"/>
    </row>
    <row r="447" spans="5:8" ht="13.5" customHeight="1" ns3:dyDescent="0.3">
      <c r="E447" s="1"/>
      <c r="F447" s="1"/>
      <c r="G447" s="28"/>
      <c r="H447" s="1"/>
    </row>
    <row r="448" spans="5:8" ht="13.5" customHeight="1" ns3:dyDescent="0.3">
      <c r="E448" s="1"/>
      <c r="F448" s="1"/>
      <c r="G448" s="28"/>
      <c r="H448" s="1"/>
    </row>
    <row r="449" spans="5:8" ht="13.5" customHeight="1" ns3:dyDescent="0.3">
      <c r="E449" s="1"/>
      <c r="F449" s="1"/>
      <c r="G449" s="28"/>
      <c r="H449" s="1"/>
    </row>
    <row r="450" spans="5:8" ht="13.5" customHeight="1" ns3:dyDescent="0.3">
      <c r="E450" s="1"/>
      <c r="F450" s="1"/>
      <c r="G450" s="28"/>
      <c r="H450" s="1"/>
    </row>
    <row r="451" spans="5:8" ht="13.5" customHeight="1" ns3:dyDescent="0.3">
      <c r="E451" s="1"/>
      <c r="F451" s="1"/>
      <c r="G451" s="28"/>
      <c r="H451" s="1"/>
    </row>
    <row r="452" spans="5:8" ht="13.5" customHeight="1" ns3:dyDescent="0.3">
      <c r="E452" s="1"/>
      <c r="F452" s="1"/>
      <c r="G452" s="28"/>
      <c r="H452" s="1"/>
    </row>
    <row r="453" spans="5:8" ht="13.5" customHeight="1" ns3:dyDescent="0.3">
      <c r="E453" s="1"/>
      <c r="F453" s="1"/>
      <c r="G453" s="28"/>
      <c r="H453" s="1"/>
    </row>
    <row r="454" spans="5:8" ht="13.5" customHeight="1" ns3:dyDescent="0.3">
      <c r="E454" s="1"/>
      <c r="F454" s="1"/>
      <c r="G454" s="28"/>
      <c r="H454" s="1"/>
    </row>
    <row r="455" spans="5:8" ht="13.5" customHeight="1" ns3:dyDescent="0.3">
      <c r="E455" s="1"/>
      <c r="F455" s="1"/>
      <c r="G455" s="28"/>
      <c r="H455" s="1"/>
    </row>
    <row r="456" spans="5:8" ht="13.5" customHeight="1" ns3:dyDescent="0.3">
      <c r="E456" s="1"/>
      <c r="F456" s="1"/>
      <c r="G456" s="28"/>
      <c r="H456" s="1"/>
    </row>
    <row r="457" spans="5:8" ht="13.5" customHeight="1" ns3:dyDescent="0.3">
      <c r="E457" s="1"/>
      <c r="F457" s="1"/>
      <c r="G457" s="28"/>
      <c r="H457" s="1"/>
    </row>
    <row r="458" spans="5:8" ht="13.5" customHeight="1" ns3:dyDescent="0.3">
      <c r="E458" s="1"/>
      <c r="F458" s="1"/>
      <c r="G458" s="28"/>
      <c r="H458" s="1"/>
    </row>
    <row r="459" spans="5:8" ht="13.5" customHeight="1" ns3:dyDescent="0.3">
      <c r="E459" s="1"/>
      <c r="F459" s="1"/>
      <c r="G459" s="28"/>
      <c r="H459" s="1"/>
    </row>
    <row r="460" spans="5:8" ht="13.5" customHeight="1" ns3:dyDescent="0.3">
      <c r="E460" s="1"/>
      <c r="F460" s="1"/>
      <c r="G460" s="28"/>
      <c r="H460" s="1"/>
    </row>
    <row r="461" spans="5:8" ht="13.5" customHeight="1" ns3:dyDescent="0.3">
      <c r="E461" s="1"/>
      <c r="F461" s="1"/>
      <c r="G461" s="28"/>
      <c r="H461" s="1"/>
    </row>
    <row r="462" spans="5:8" ht="13.5" customHeight="1" ns3:dyDescent="0.3">
      <c r="E462" s="1"/>
      <c r="F462" s="1"/>
      <c r="G462" s="28"/>
      <c r="H462" s="1"/>
    </row>
    <row r="463" spans="5:8" ht="13.5" customHeight="1" ns3:dyDescent="0.3">
      <c r="E463" s="1"/>
      <c r="F463" s="1"/>
      <c r="G463" s="28"/>
      <c r="H463" s="1"/>
    </row>
    <row r="464" spans="5:8" ht="13.5" customHeight="1" ns3:dyDescent="0.3">
      <c r="E464" s="1"/>
      <c r="F464" s="1"/>
      <c r="G464" s="28"/>
      <c r="H464" s="1"/>
    </row>
    <row r="465" spans="5:8" ht="13.5" customHeight="1" ns3:dyDescent="0.3">
      <c r="E465" s="1"/>
      <c r="F465" s="1"/>
      <c r="G465" s="28"/>
      <c r="H465" s="1"/>
    </row>
    <row r="466" spans="5:8" ht="13.5" customHeight="1" ns3:dyDescent="0.3">
      <c r="E466" s="1"/>
      <c r="F466" s="1"/>
      <c r="G466" s="28"/>
      <c r="H466" s="1"/>
    </row>
    <row r="467" spans="5:8" ht="13.5" customHeight="1" ns3:dyDescent="0.3">
      <c r="E467" s="1"/>
      <c r="F467" s="1"/>
      <c r="G467" s="28"/>
      <c r="H467" s="1"/>
    </row>
    <row r="468" spans="5:8" ht="13.5" customHeight="1" ns3:dyDescent="0.3">
      <c r="E468" s="1"/>
      <c r="F468" s="1"/>
      <c r="G468" s="28"/>
      <c r="H468" s="1"/>
    </row>
    <row r="469" spans="5:8" ht="13.5" customHeight="1" ns3:dyDescent="0.3">
      <c r="E469" s="1"/>
      <c r="F469" s="1"/>
      <c r="G469" s="28"/>
      <c r="H469" s="1"/>
    </row>
    <row r="470" spans="5:8" ht="13.5" customHeight="1" ns3:dyDescent="0.3">
      <c r="E470" s="1"/>
      <c r="F470" s="1"/>
      <c r="G470" s="28"/>
      <c r="H470" s="1"/>
    </row>
    <row r="471" spans="5:8" ht="13.5" customHeight="1" ns3:dyDescent="0.3">
      <c r="E471" s="1"/>
      <c r="F471" s="1"/>
      <c r="G471" s="28"/>
      <c r="H471" s="1"/>
    </row>
    <row r="472" spans="5:8" ht="13.5" customHeight="1" ns3:dyDescent="0.3">
      <c r="E472" s="1"/>
      <c r="F472" s="1"/>
      <c r="G472" s="28"/>
      <c r="H472" s="1"/>
    </row>
    <row r="473" spans="5:8" ht="13.5" customHeight="1" ns3:dyDescent="0.3">
      <c r="E473" s="1"/>
      <c r="F473" s="1"/>
      <c r="G473" s="28"/>
      <c r="H473" s="1"/>
    </row>
    <row r="474" spans="5:8" ht="13.5" customHeight="1" ns3:dyDescent="0.3">
      <c r="E474" s="1"/>
      <c r="F474" s="1"/>
      <c r="G474" s="28"/>
      <c r="H474" s="1"/>
    </row>
    <row r="475" spans="5:8" ht="13.5" customHeight="1" ns3:dyDescent="0.3">
      <c r="E475" s="1"/>
      <c r="F475" s="1"/>
      <c r="G475" s="28"/>
      <c r="H475" s="1"/>
    </row>
    <row r="476" spans="5:8" ht="13.5" customHeight="1" ns3:dyDescent="0.3">
      <c r="E476" s="1"/>
      <c r="F476" s="1"/>
      <c r="G476" s="28"/>
      <c r="H476" s="1"/>
    </row>
    <row r="477" spans="5:8" ht="13.5" customHeight="1" ns3:dyDescent="0.3">
      <c r="E477" s="1"/>
      <c r="F477" s="1"/>
      <c r="G477" s="28"/>
      <c r="H477" s="1"/>
    </row>
    <row r="478" spans="5:8" ht="13.5" customHeight="1" ns3:dyDescent="0.3">
      <c r="E478" s="1"/>
      <c r="F478" s="1"/>
      <c r="G478" s="28"/>
      <c r="H478" s="1"/>
    </row>
    <row r="479" spans="5:8" ht="13.5" customHeight="1" ns3:dyDescent="0.3">
      <c r="E479" s="1"/>
      <c r="F479" s="1"/>
      <c r="G479" s="28"/>
      <c r="H479" s="1"/>
    </row>
    <row r="480" spans="5:8" ht="13.5" customHeight="1" ns3:dyDescent="0.3">
      <c r="E480" s="1"/>
      <c r="F480" s="1"/>
      <c r="G480" s="28"/>
      <c r="H480" s="1"/>
    </row>
    <row r="481" spans="5:8" ht="13.5" customHeight="1" ns3:dyDescent="0.3">
      <c r="E481" s="1"/>
      <c r="F481" s="1"/>
      <c r="G481" s="28"/>
      <c r="H481" s="1"/>
    </row>
    <row r="482" spans="5:8" ht="13.5" customHeight="1" ns3:dyDescent="0.3">
      <c r="E482" s="1"/>
      <c r="F482" s="1"/>
      <c r="G482" s="28"/>
      <c r="H482" s="1"/>
    </row>
    <row r="483" spans="5:8" ht="13.5" customHeight="1" ns3:dyDescent="0.3">
      <c r="E483" s="1"/>
      <c r="F483" s="1"/>
      <c r="G483" s="28"/>
      <c r="H483" s="1"/>
    </row>
    <row r="484" spans="5:8" ht="13.5" customHeight="1" ns3:dyDescent="0.3">
      <c r="E484" s="1"/>
      <c r="F484" s="1"/>
      <c r="G484" s="28"/>
      <c r="H484" s="1"/>
    </row>
    <row r="485" spans="5:8" ht="13.5" customHeight="1" ns3:dyDescent="0.3">
      <c r="E485" s="1"/>
      <c r="F485" s="1"/>
      <c r="G485" s="28"/>
      <c r="H485" s="1"/>
    </row>
    <row r="486" spans="5:8" ht="13.5" customHeight="1" ns3:dyDescent="0.3">
      <c r="E486" s="1"/>
      <c r="F486" s="1"/>
      <c r="G486" s="28"/>
      <c r="H486" s="1"/>
    </row>
    <row r="487" spans="5:8" ht="13.5" customHeight="1" ns3:dyDescent="0.3">
      <c r="E487" s="1"/>
      <c r="F487" s="1"/>
      <c r="G487" s="28"/>
      <c r="H487" s="1"/>
    </row>
    <row r="488" spans="5:8" ht="13.5" customHeight="1" ns3:dyDescent="0.3">
      <c r="E488" s="1"/>
      <c r="F488" s="1"/>
      <c r="G488" s="28"/>
      <c r="H488" s="1"/>
    </row>
    <row r="489" spans="5:8" ht="13.5" customHeight="1" ns3:dyDescent="0.3">
      <c r="E489" s="1"/>
      <c r="F489" s="1"/>
      <c r="G489" s="28"/>
      <c r="H489" s="1"/>
    </row>
    <row r="490" spans="5:8" ht="13.5" customHeight="1" ns3:dyDescent="0.3">
      <c r="E490" s="1"/>
      <c r="F490" s="1"/>
      <c r="G490" s="28"/>
      <c r="H490" s="1"/>
    </row>
    <row r="491" spans="5:8" ht="13.5" customHeight="1" ns3:dyDescent="0.3">
      <c r="E491" s="1"/>
      <c r="F491" s="1"/>
      <c r="G491" s="28"/>
      <c r="H491" s="1"/>
    </row>
    <row r="492" spans="5:8" ht="13.5" customHeight="1" ns3:dyDescent="0.3">
      <c r="E492" s="1"/>
      <c r="F492" s="1"/>
      <c r="G492" s="28"/>
      <c r="H492" s="1"/>
    </row>
    <row r="493" spans="5:8" ht="13.5" customHeight="1" ns3:dyDescent="0.3">
      <c r="E493" s="1"/>
      <c r="F493" s="1"/>
      <c r="G493" s="28"/>
      <c r="H493" s="1"/>
    </row>
    <row r="494" spans="5:8" ht="13.5" customHeight="1" ns3:dyDescent="0.3">
      <c r="E494" s="1"/>
      <c r="F494" s="1"/>
      <c r="G494" s="28"/>
      <c r="H494" s="1"/>
    </row>
    <row r="495" spans="5:8" ht="13.5" customHeight="1" ns3:dyDescent="0.3">
      <c r="E495" s="1"/>
      <c r="F495" s="1"/>
      <c r="G495" s="28"/>
      <c r="H495" s="1"/>
    </row>
    <row r="496" spans="5:8" ht="13.5" customHeight="1" ns3:dyDescent="0.3">
      <c r="E496" s="1"/>
      <c r="F496" s="1"/>
      <c r="G496" s="28"/>
      <c r="H496" s="1"/>
    </row>
    <row r="497" spans="5:8" ht="13.5" customHeight="1" ns3:dyDescent="0.3">
      <c r="E497" s="1"/>
      <c r="F497" s="1"/>
      <c r="G497" s="28"/>
      <c r="H497" s="1"/>
    </row>
    <row r="498" spans="5:8" ht="13.5" customHeight="1" ns3:dyDescent="0.3">
      <c r="E498" s="1"/>
      <c r="F498" s="1"/>
      <c r="G498" s="28"/>
      <c r="H498" s="1"/>
    </row>
    <row r="499" spans="5:8" ht="13.5" customHeight="1" ns3:dyDescent="0.3">
      <c r="E499" s="1"/>
      <c r="F499" s="1"/>
      <c r="G499" s="28"/>
      <c r="H499" s="1"/>
    </row>
    <row r="500" spans="5:8" ht="13.5" customHeight="1" ns3:dyDescent="0.3">
      <c r="E500" s="1"/>
      <c r="F500" s="1"/>
      <c r="G500" s="28"/>
      <c r="H500" s="1"/>
    </row>
    <row r="501" spans="5:8" ht="13.5" customHeight="1" ns3:dyDescent="0.3">
      <c r="E501" s="1"/>
      <c r="F501" s="1"/>
      <c r="G501" s="28"/>
      <c r="H501" s="1"/>
    </row>
    <row r="502" spans="5:8" ht="13.5" customHeight="1" ns3:dyDescent="0.3">
      <c r="E502" s="1"/>
      <c r="F502" s="1"/>
      <c r="G502" s="28"/>
      <c r="H502" s="1"/>
    </row>
    <row r="503" spans="5:8" ht="13.5" customHeight="1" ns3:dyDescent="0.3">
      <c r="E503" s="1"/>
      <c r="F503" s="1"/>
      <c r="G503" s="28"/>
      <c r="H503" s="1"/>
    </row>
    <row r="504" spans="5:8" ht="13.5" customHeight="1" ns3:dyDescent="0.3">
      <c r="E504" s="1"/>
      <c r="F504" s="1"/>
      <c r="G504" s="28"/>
      <c r="H504" s="1"/>
    </row>
    <row r="505" spans="5:8" ht="13.5" customHeight="1" ns3:dyDescent="0.3">
      <c r="E505" s="1"/>
      <c r="F505" s="1"/>
      <c r="G505" s="28"/>
      <c r="H505" s="1"/>
    </row>
    <row r="506" spans="5:8" ht="13.5" customHeight="1" ns3:dyDescent="0.3">
      <c r="E506" s="1"/>
      <c r="F506" s="1"/>
      <c r="G506" s="28"/>
      <c r="H506" s="1"/>
    </row>
    <row r="507" spans="5:8" ht="13.5" customHeight="1" ns3:dyDescent="0.3">
      <c r="E507" s="1"/>
      <c r="F507" s="1"/>
      <c r="G507" s="28"/>
      <c r="H507" s="1"/>
    </row>
    <row r="508" spans="5:8" ht="13.5" customHeight="1" ns3:dyDescent="0.3">
      <c r="E508" s="1"/>
      <c r="F508" s="1"/>
      <c r="G508" s="28"/>
      <c r="H508" s="1"/>
    </row>
    <row r="509" spans="5:8" ht="13.5" customHeight="1" ns3:dyDescent="0.3">
      <c r="E509" s="1"/>
      <c r="F509" s="1"/>
      <c r="G509" s="28"/>
      <c r="H509" s="1"/>
    </row>
    <row r="510" spans="5:8" ht="13.5" customHeight="1" ns3:dyDescent="0.3">
      <c r="E510" s="1"/>
      <c r="F510" s="1"/>
      <c r="G510" s="28"/>
      <c r="H510" s="1"/>
    </row>
    <row r="511" spans="5:8" ht="13.5" customHeight="1" ns3:dyDescent="0.3">
      <c r="E511" s="1"/>
      <c r="F511" s="1"/>
      <c r="G511" s="28"/>
      <c r="H511" s="1"/>
    </row>
    <row r="512" spans="5:8" ht="13.5" customHeight="1" ns3:dyDescent="0.3">
      <c r="E512" s="1"/>
      <c r="F512" s="1"/>
      <c r="G512" s="28"/>
      <c r="H512" s="1"/>
    </row>
    <row r="513" spans="5:8" ht="13.5" customHeight="1" ns3:dyDescent="0.3">
      <c r="E513" s="1"/>
      <c r="F513" s="1"/>
      <c r="G513" s="28"/>
      <c r="H513" s="1"/>
    </row>
    <row r="514" spans="5:8" ht="13.5" customHeight="1" ns3:dyDescent="0.3">
      <c r="E514" s="1"/>
      <c r="F514" s="1"/>
      <c r="G514" s="28"/>
      <c r="H514" s="1"/>
    </row>
    <row r="515" spans="5:8" ht="13.5" customHeight="1" ns3:dyDescent="0.3">
      <c r="E515" s="1"/>
      <c r="F515" s="1"/>
      <c r="G515" s="28"/>
      <c r="H515" s="1"/>
    </row>
    <row r="516" spans="5:8" ht="13.5" customHeight="1" ns3:dyDescent="0.3">
      <c r="E516" s="1"/>
      <c r="F516" s="1"/>
      <c r="G516" s="28"/>
      <c r="H516" s="1"/>
    </row>
    <row r="517" spans="5:8" ht="13.5" customHeight="1" ns3:dyDescent="0.3">
      <c r="E517" s="1"/>
      <c r="F517" s="1"/>
      <c r="G517" s="28"/>
      <c r="H517" s="1"/>
    </row>
    <row r="518" spans="5:8" ht="13.5" customHeight="1" ns3:dyDescent="0.3">
      <c r="E518" s="1"/>
      <c r="F518" s="1"/>
      <c r="G518" s="28"/>
      <c r="H518" s="1"/>
    </row>
    <row r="519" spans="5:8" ht="13.5" customHeight="1" ns3:dyDescent="0.3">
      <c r="E519" s="1"/>
      <c r="F519" s="1"/>
      <c r="G519" s="28"/>
      <c r="H519" s="1"/>
    </row>
    <row r="520" spans="5:8" ht="13.5" customHeight="1" ns3:dyDescent="0.3">
      <c r="E520" s="1"/>
      <c r="F520" s="1"/>
      <c r="G520" s="28"/>
      <c r="H520" s="1"/>
    </row>
    <row r="521" spans="5:8" ht="13.5" customHeight="1" ns3:dyDescent="0.3">
      <c r="E521" s="1"/>
      <c r="F521" s="1"/>
      <c r="G521" s="28"/>
      <c r="H521" s="1"/>
    </row>
    <row r="522" spans="5:8" ht="13.5" customHeight="1" ns3:dyDescent="0.3">
      <c r="E522" s="1"/>
      <c r="F522" s="1"/>
      <c r="G522" s="28"/>
      <c r="H522" s="1"/>
    </row>
    <row r="523" spans="5:8" ht="13.5" customHeight="1" ns3:dyDescent="0.3">
      <c r="E523" s="1"/>
      <c r="F523" s="1"/>
      <c r="G523" s="28"/>
      <c r="H523" s="1"/>
    </row>
    <row r="524" spans="5:8" ht="13.5" customHeight="1" ns3:dyDescent="0.3">
      <c r="E524" s="1"/>
      <c r="F524" s="1"/>
      <c r="G524" s="28"/>
      <c r="H524" s="1"/>
    </row>
    <row r="525" spans="5:8" ht="13.5" customHeight="1" ns3:dyDescent="0.3">
      <c r="E525" s="1"/>
      <c r="F525" s="1"/>
      <c r="G525" s="28"/>
      <c r="H525" s="1"/>
    </row>
    <row r="526" spans="5:8" ht="13.5" customHeight="1" ns3:dyDescent="0.3">
      <c r="E526" s="1"/>
      <c r="F526" s="1"/>
      <c r="G526" s="28"/>
      <c r="H526" s="1"/>
    </row>
    <row r="527" spans="5:8" ht="13.5" customHeight="1" ns3:dyDescent="0.3">
      <c r="E527" s="1"/>
      <c r="F527" s="1"/>
      <c r="G527" s="28"/>
      <c r="H527" s="1"/>
    </row>
    <row r="528" spans="5:8" ht="13.5" customHeight="1" ns3:dyDescent="0.3">
      <c r="E528" s="1"/>
      <c r="F528" s="1"/>
      <c r="G528" s="28"/>
      <c r="H528" s="1"/>
    </row>
    <row r="529" spans="5:8" ht="13.5" customHeight="1" ns3:dyDescent="0.3">
      <c r="E529" s="1"/>
      <c r="F529" s="1"/>
      <c r="G529" s="28"/>
      <c r="H529" s="1"/>
    </row>
    <row r="530" spans="5:8" ht="13.5" customHeight="1" ns3:dyDescent="0.3">
      <c r="E530" s="1"/>
      <c r="F530" s="1"/>
      <c r="G530" s="28"/>
      <c r="H530" s="1"/>
    </row>
    <row r="531" spans="5:8" ht="13.5" customHeight="1" ns3:dyDescent="0.3">
      <c r="E531" s="1"/>
      <c r="F531" s="1"/>
      <c r="G531" s="28"/>
      <c r="H531" s="1"/>
    </row>
    <row r="532" spans="5:8" ht="13.5" customHeight="1" ns3:dyDescent="0.3">
      <c r="E532" s="1"/>
      <c r="F532" s="1"/>
      <c r="G532" s="28"/>
      <c r="H532" s="1"/>
    </row>
    <row r="533" spans="5:8" ht="13.5" customHeight="1" ns3:dyDescent="0.3">
      <c r="E533" s="1"/>
      <c r="F533" s="1"/>
      <c r="G533" s="28"/>
      <c r="H533" s="1"/>
    </row>
    <row r="534" spans="5:8" ht="13.5" customHeight="1" ns3:dyDescent="0.3">
      <c r="E534" s="1"/>
      <c r="F534" s="1"/>
      <c r="G534" s="28"/>
      <c r="H534" s="1"/>
    </row>
    <row r="535" spans="5:8" ht="13.5" customHeight="1" ns3:dyDescent="0.3">
      <c r="E535" s="1"/>
      <c r="F535" s="1"/>
      <c r="G535" s="28"/>
      <c r="H535" s="1"/>
    </row>
    <row r="536" spans="5:8" ht="13.5" customHeight="1" ns3:dyDescent="0.3">
      <c r="E536" s="1"/>
      <c r="F536" s="1"/>
      <c r="G536" s="28"/>
      <c r="H536" s="1"/>
    </row>
    <row r="537" spans="5:8" ht="13.5" customHeight="1" ns3:dyDescent="0.3">
      <c r="E537" s="1"/>
      <c r="F537" s="1"/>
      <c r="G537" s="28"/>
      <c r="H537" s="1"/>
    </row>
    <row r="538" spans="5:8" ht="13.5" customHeight="1" ns3:dyDescent="0.3">
      <c r="E538" s="1"/>
      <c r="F538" s="1"/>
      <c r="G538" s="28"/>
      <c r="H538" s="1"/>
    </row>
    <row r="539" spans="5:8" ht="13.5" customHeight="1" ns3:dyDescent="0.3">
      <c r="E539" s="1"/>
      <c r="F539" s="1"/>
      <c r="G539" s="28"/>
      <c r="H539" s="1"/>
    </row>
    <row r="540" spans="5:8" ht="13.5" customHeight="1" ns3:dyDescent="0.3">
      <c r="E540" s="1"/>
      <c r="F540" s="1"/>
      <c r="G540" s="28"/>
      <c r="H540" s="1"/>
    </row>
    <row r="541" spans="5:8" ht="13.5" customHeight="1" ns3:dyDescent="0.3">
      <c r="E541" s="1"/>
      <c r="F541" s="1"/>
      <c r="G541" s="28"/>
      <c r="H541" s="1"/>
    </row>
    <row r="542" spans="5:8" ht="13.5" customHeight="1" ns3:dyDescent="0.3">
      <c r="E542" s="1"/>
      <c r="F542" s="1"/>
      <c r="G542" s="28"/>
      <c r="H542" s="1"/>
    </row>
    <row r="543" spans="5:8" ht="13.5" customHeight="1" ns3:dyDescent="0.3">
      <c r="E543" s="1"/>
      <c r="F543" s="1"/>
      <c r="G543" s="28"/>
      <c r="H543" s="1"/>
    </row>
    <row r="544" spans="5:8" ht="13.5" customHeight="1" ns3:dyDescent="0.3">
      <c r="E544" s="1"/>
      <c r="F544" s="1"/>
      <c r="G544" s="28"/>
      <c r="H544" s="1"/>
    </row>
    <row r="545" spans="5:8" ht="13.5" customHeight="1" ns3:dyDescent="0.3">
      <c r="E545" s="1"/>
      <c r="F545" s="1"/>
      <c r="G545" s="28"/>
      <c r="H545" s="1"/>
    </row>
    <row r="546" spans="5:8" ht="13.5" customHeight="1" ns3:dyDescent="0.3">
      <c r="E546" s="1"/>
      <c r="F546" s="1"/>
      <c r="G546" s="28"/>
      <c r="H546" s="1"/>
    </row>
    <row r="547" spans="5:8" ht="13.5" customHeight="1" ns3:dyDescent="0.3">
      <c r="E547" s="1"/>
      <c r="F547" s="1"/>
      <c r="G547" s="28"/>
      <c r="H547" s="1"/>
    </row>
    <row r="548" spans="5:8" ht="13.5" customHeight="1" ns3:dyDescent="0.3">
      <c r="E548" s="1"/>
      <c r="F548" s="1"/>
      <c r="G548" s="28"/>
      <c r="H548" s="1"/>
    </row>
    <row r="549" spans="5:8" ht="13.5" customHeight="1" ns3:dyDescent="0.3">
      <c r="E549" s="1"/>
      <c r="F549" s="1"/>
      <c r="G549" s="28"/>
      <c r="H549" s="1"/>
    </row>
    <row r="550" spans="5:8" ht="13.5" customHeight="1" ns3:dyDescent="0.3">
      <c r="E550" s="1"/>
      <c r="F550" s="1"/>
      <c r="G550" s="28"/>
      <c r="H550" s="1"/>
    </row>
    <row r="551" spans="5:8" ht="13.5" customHeight="1" ns3:dyDescent="0.3">
      <c r="E551" s="1"/>
      <c r="F551" s="1"/>
      <c r="G551" s="28"/>
      <c r="H551" s="1"/>
    </row>
    <row r="552" spans="5:8" ht="13.5" customHeight="1" ns3:dyDescent="0.3">
      <c r="E552" s="1"/>
      <c r="F552" s="1"/>
      <c r="G552" s="28"/>
      <c r="H552" s="1"/>
    </row>
    <row r="553" spans="5:8" ht="13.5" customHeight="1" ns3:dyDescent="0.3">
      <c r="E553" s="1"/>
      <c r="F553" s="1"/>
      <c r="G553" s="28"/>
      <c r="H553" s="1"/>
    </row>
    <row r="554" spans="5:8" ht="13.5" customHeight="1" ns3:dyDescent="0.3">
      <c r="E554" s="1"/>
      <c r="F554" s="1"/>
      <c r="G554" s="28"/>
      <c r="H554" s="1"/>
    </row>
    <row r="555" spans="5:8" ht="13.5" customHeight="1" ns3:dyDescent="0.3">
      <c r="E555" s="1"/>
      <c r="F555" s="1"/>
      <c r="G555" s="28"/>
      <c r="H555" s="1"/>
    </row>
    <row r="556" spans="5:8" ht="13.5" customHeight="1" ns3:dyDescent="0.3">
      <c r="E556" s="1"/>
      <c r="F556" s="1"/>
      <c r="G556" s="28"/>
      <c r="H556" s="1"/>
    </row>
    <row r="557" spans="5:8" ht="13.5" customHeight="1" ns3:dyDescent="0.3">
      <c r="E557" s="1"/>
      <c r="F557" s="1"/>
      <c r="G557" s="28"/>
      <c r="H557" s="1"/>
    </row>
    <row r="558" spans="5:8" ht="13.5" customHeight="1" ns3:dyDescent="0.3">
      <c r="E558" s="1"/>
      <c r="F558" s="1"/>
      <c r="G558" s="28"/>
      <c r="H558" s="1"/>
    </row>
    <row r="559" spans="5:8" ht="13.5" customHeight="1" ns3:dyDescent="0.3">
      <c r="E559" s="1"/>
      <c r="F559" s="1"/>
      <c r="G559" s="28"/>
      <c r="H559" s="1"/>
    </row>
    <row r="560" spans="5:8" ht="13.5" customHeight="1" ns3:dyDescent="0.3">
      <c r="E560" s="1"/>
      <c r="F560" s="1"/>
      <c r="G560" s="28"/>
      <c r="H560" s="1"/>
    </row>
    <row r="561" spans="5:8" ht="13.5" customHeight="1" ns3:dyDescent="0.3">
      <c r="E561" s="1"/>
      <c r="F561" s="1"/>
      <c r="G561" s="28"/>
      <c r="H561" s="1"/>
    </row>
    <row r="562" spans="5:8" ht="13.5" customHeight="1" ns3:dyDescent="0.3">
      <c r="E562" s="1"/>
      <c r="F562" s="1"/>
      <c r="G562" s="28"/>
      <c r="H562" s="1"/>
    </row>
    <row r="563" spans="5:8" ht="13.5" customHeight="1" ns3:dyDescent="0.3">
      <c r="E563" s="1"/>
      <c r="F563" s="1"/>
      <c r="G563" s="28"/>
      <c r="H563" s="1"/>
    </row>
    <row r="564" spans="5:8" ht="13.5" customHeight="1" ns3:dyDescent="0.3">
      <c r="E564" s="1"/>
      <c r="F564" s="1"/>
      <c r="G564" s="28"/>
      <c r="H564" s="1"/>
    </row>
    <row r="565" spans="5:8" ht="13.5" customHeight="1" ns3:dyDescent="0.3">
      <c r="E565" s="1"/>
      <c r="F565" s="1"/>
      <c r="G565" s="28"/>
      <c r="H565" s="1"/>
    </row>
    <row r="566" spans="5:8" ht="13.5" customHeight="1" ns3:dyDescent="0.3">
      <c r="E566" s="1"/>
      <c r="F566" s="1"/>
      <c r="G566" s="28"/>
      <c r="H566" s="1"/>
    </row>
    <row r="567" spans="5:8" ht="13.5" customHeight="1" ns3:dyDescent="0.3">
      <c r="E567" s="1"/>
      <c r="F567" s="1"/>
      <c r="G567" s="28"/>
      <c r="H567" s="1"/>
    </row>
    <row r="568" spans="5:8" ht="13.5" customHeight="1" ns3:dyDescent="0.3">
      <c r="E568" s="1"/>
      <c r="F568" s="1"/>
      <c r="G568" s="28"/>
      <c r="H568" s="1"/>
    </row>
    <row r="569" spans="5:8" ht="13.5" customHeight="1" ns3:dyDescent="0.3">
      <c r="E569" s="1"/>
      <c r="F569" s="1"/>
      <c r="G569" s="28"/>
      <c r="H569" s="1"/>
    </row>
    <row r="570" spans="5:8" ht="13.5" customHeight="1" ns3:dyDescent="0.3">
      <c r="E570" s="1"/>
      <c r="F570" s="1"/>
      <c r="G570" s="28"/>
      <c r="H570" s="1"/>
    </row>
    <row r="571" spans="5:8" ht="13.5" customHeight="1" ns3:dyDescent="0.3">
      <c r="E571" s="1"/>
      <c r="F571" s="1"/>
      <c r="G571" s="28"/>
      <c r="H571" s="1"/>
    </row>
    <row r="572" spans="5:8" ht="13.5" customHeight="1" ns3:dyDescent="0.3">
      <c r="E572" s="1"/>
      <c r="F572" s="1"/>
      <c r="G572" s="28"/>
      <c r="H572" s="1"/>
    </row>
    <row r="573" spans="5:8" ht="13.5" customHeight="1" ns3:dyDescent="0.3">
      <c r="E573" s="1"/>
      <c r="F573" s="1"/>
      <c r="G573" s="28"/>
      <c r="H573" s="1"/>
    </row>
    <row r="574" spans="5:8" ht="13.5" customHeight="1" ns3:dyDescent="0.3">
      <c r="E574" s="1"/>
      <c r="F574" s="1"/>
      <c r="G574" s="28"/>
      <c r="H574" s="1"/>
    </row>
    <row r="575" spans="5:8" ht="13.5" customHeight="1" ns3:dyDescent="0.3">
      <c r="E575" s="1"/>
      <c r="F575" s="1"/>
      <c r="G575" s="28"/>
      <c r="H575" s="1"/>
    </row>
    <row r="576" spans="5:8" ht="13.5" customHeight="1" ns3:dyDescent="0.3">
      <c r="E576" s="1"/>
      <c r="F576" s="1"/>
      <c r="G576" s="28"/>
      <c r="H576" s="1"/>
    </row>
    <row r="577" spans="5:8" ht="13.5" customHeight="1" ns3:dyDescent="0.3">
      <c r="E577" s="1"/>
      <c r="F577" s="1"/>
      <c r="G577" s="28"/>
      <c r="H577" s="1"/>
    </row>
    <row r="578" spans="5:8" ht="13.5" customHeight="1" ns3:dyDescent="0.3">
      <c r="E578" s="1"/>
      <c r="F578" s="1"/>
      <c r="G578" s="28"/>
      <c r="H578" s="1"/>
    </row>
    <row r="579" spans="5:8" ht="13.5" customHeight="1" ns3:dyDescent="0.3">
      <c r="E579" s="1"/>
      <c r="F579" s="1"/>
      <c r="G579" s="28"/>
      <c r="H579" s="1"/>
    </row>
    <row r="580" spans="5:8" ht="13.5" customHeight="1" ns3:dyDescent="0.3">
      <c r="E580" s="1"/>
      <c r="F580" s="1"/>
      <c r="G580" s="28"/>
      <c r="H580" s="1"/>
    </row>
    <row r="581" spans="5:8" ht="13.5" customHeight="1" ns3:dyDescent="0.3">
      <c r="E581" s="1"/>
      <c r="F581" s="1"/>
      <c r="G581" s="28"/>
      <c r="H581" s="1"/>
    </row>
    <row r="582" spans="5:8" ht="13.5" customHeight="1" ns3:dyDescent="0.3">
      <c r="E582" s="1"/>
      <c r="F582" s="1"/>
      <c r="G582" s="28"/>
      <c r="H582" s="1"/>
    </row>
    <row r="583" spans="5:8" ht="13.5" customHeight="1" ns3:dyDescent="0.3">
      <c r="E583" s="1"/>
      <c r="F583" s="1"/>
      <c r="G583" s="28"/>
      <c r="H583" s="1"/>
    </row>
    <row r="584" spans="5:8" ht="13.5" customHeight="1" ns3:dyDescent="0.3">
      <c r="E584" s="1"/>
      <c r="F584" s="1"/>
      <c r="G584" s="28"/>
      <c r="H584" s="1"/>
    </row>
    <row r="585" spans="5:8" ht="13.5" customHeight="1" ns3:dyDescent="0.3">
      <c r="E585" s="1"/>
      <c r="F585" s="1"/>
      <c r="G585" s="28"/>
      <c r="H585" s="1"/>
    </row>
    <row r="586" spans="5:8" ht="13.5" customHeight="1" ns3:dyDescent="0.3">
      <c r="E586" s="1"/>
      <c r="F586" s="1"/>
      <c r="G586" s="28"/>
      <c r="H586" s="1"/>
    </row>
    <row r="587" spans="5:8" ht="13.5" customHeight="1" ns3:dyDescent="0.3">
      <c r="E587" s="1"/>
      <c r="F587" s="1"/>
      <c r="G587" s="28"/>
      <c r="H587" s="1"/>
    </row>
    <row r="588" spans="5:8" ht="13.5" customHeight="1" ns3:dyDescent="0.3">
      <c r="E588" s="1"/>
      <c r="F588" s="1"/>
      <c r="G588" s="28"/>
      <c r="H588" s="1"/>
    </row>
    <row r="589" spans="5:8" ht="13.5" customHeight="1" ns3:dyDescent="0.3">
      <c r="E589" s="1"/>
      <c r="F589" s="1"/>
      <c r="G589" s="28"/>
      <c r="H589" s="1"/>
    </row>
    <row r="590" spans="5:8" ht="13.5" customHeight="1" ns3:dyDescent="0.3">
      <c r="E590" s="1"/>
      <c r="F590" s="1"/>
      <c r="G590" s="28"/>
      <c r="H590" s="1"/>
    </row>
    <row r="591" spans="5:8" ht="13.5" customHeight="1" ns3:dyDescent="0.3">
      <c r="E591" s="1"/>
      <c r="F591" s="1"/>
      <c r="G591" s="28"/>
      <c r="H591" s="1"/>
    </row>
    <row r="592" spans="5:8" ht="13.5" customHeight="1" ns3:dyDescent="0.3">
      <c r="E592" s="1"/>
      <c r="F592" s="1"/>
      <c r="G592" s="28"/>
      <c r="H592" s="1"/>
    </row>
    <row r="593" spans="5:8" ht="13.5" customHeight="1" ns3:dyDescent="0.3">
      <c r="E593" s="1"/>
      <c r="F593" s="1"/>
      <c r="G593" s="28"/>
      <c r="H593" s="1"/>
    </row>
    <row r="594" spans="5:8" ht="13.5" customHeight="1" ns3:dyDescent="0.3">
      <c r="E594" s="1"/>
      <c r="F594" s="1"/>
      <c r="G594" s="28"/>
      <c r="H594" s="1"/>
    </row>
    <row r="595" spans="5:8" ht="13.5" customHeight="1" ns3:dyDescent="0.3">
      <c r="E595" s="1"/>
      <c r="F595" s="1"/>
      <c r="G595" s="28"/>
      <c r="H595" s="1"/>
    </row>
    <row r="596" spans="5:8" ht="13.5" customHeight="1" ns3:dyDescent="0.3">
      <c r="E596" s="1"/>
      <c r="F596" s="1"/>
      <c r="G596" s="28"/>
      <c r="H596" s="1"/>
    </row>
    <row r="597" spans="5:8" ht="13.5" customHeight="1" ns3:dyDescent="0.3">
      <c r="E597" s="1"/>
      <c r="F597" s="1"/>
      <c r="G597" s="28"/>
      <c r="H597" s="1"/>
    </row>
    <row r="598" spans="5:8" ht="13.5" customHeight="1" ns3:dyDescent="0.3">
      <c r="E598" s="1"/>
      <c r="F598" s="1"/>
      <c r="G598" s="28"/>
      <c r="H598" s="1"/>
    </row>
    <row r="599" spans="5:8" ht="13.5" customHeight="1" ns3:dyDescent="0.3">
      <c r="E599" s="1"/>
      <c r="F599" s="1"/>
      <c r="G599" s="28"/>
      <c r="H599" s="1"/>
    </row>
    <row r="600" spans="5:8" ht="13.5" customHeight="1" ns3:dyDescent="0.3">
      <c r="E600" s="1"/>
      <c r="F600" s="1"/>
      <c r="G600" s="28"/>
      <c r="H600" s="1"/>
    </row>
    <row r="601" spans="5:8" ht="13.5" customHeight="1" ns3:dyDescent="0.3">
      <c r="E601" s="1"/>
      <c r="F601" s="1"/>
      <c r="G601" s="28"/>
      <c r="H601" s="1"/>
    </row>
    <row r="602" spans="5:8" ht="13.5" customHeight="1" ns3:dyDescent="0.3">
      <c r="E602" s="1"/>
      <c r="F602" s="1"/>
      <c r="G602" s="28"/>
      <c r="H602" s="1"/>
    </row>
    <row r="603" spans="5:8" ht="13.5" customHeight="1" ns3:dyDescent="0.3">
      <c r="E603" s="1"/>
      <c r="F603" s="1"/>
      <c r="G603" s="28"/>
      <c r="H603" s="1"/>
    </row>
    <row r="604" spans="5:8" ht="13.5" customHeight="1" ns3:dyDescent="0.3">
      <c r="E604" s="1"/>
      <c r="F604" s="1"/>
      <c r="G604" s="28"/>
      <c r="H604" s="1"/>
    </row>
    <row r="605" spans="5:8" ht="13.5" customHeight="1" ns3:dyDescent="0.3">
      <c r="E605" s="1"/>
      <c r="F605" s="1"/>
      <c r="G605" s="28"/>
      <c r="H605" s="1"/>
    </row>
    <row r="606" spans="5:8" ht="13.5" customHeight="1" ns3:dyDescent="0.3">
      <c r="E606" s="1"/>
      <c r="F606" s="1"/>
      <c r="G606" s="28"/>
      <c r="H606" s="1"/>
    </row>
    <row r="607" spans="5:8" ht="13.5" customHeight="1" ns3:dyDescent="0.3">
      <c r="E607" s="1"/>
      <c r="F607" s="1"/>
      <c r="G607" s="28"/>
      <c r="H607" s="1"/>
    </row>
    <row r="608" spans="5:8" ht="13.5" customHeight="1" ns3:dyDescent="0.3">
      <c r="E608" s="1"/>
      <c r="F608" s="1"/>
      <c r="G608" s="28"/>
      <c r="H608" s="1"/>
    </row>
    <row r="609" spans="5:8" ht="13.5" customHeight="1" ns3:dyDescent="0.3">
      <c r="E609" s="1"/>
      <c r="F609" s="1"/>
      <c r="G609" s="28"/>
      <c r="H609" s="1"/>
    </row>
    <row r="610" spans="5:8" ht="13.5" customHeight="1" ns3:dyDescent="0.3">
      <c r="E610" s="1"/>
      <c r="F610" s="1"/>
      <c r="G610" s="28"/>
      <c r="H610" s="1"/>
    </row>
    <row r="611" spans="5:8" ht="13.5" customHeight="1" ns3:dyDescent="0.3">
      <c r="E611" s="1"/>
      <c r="F611" s="1"/>
      <c r="G611" s="28"/>
      <c r="H611" s="1"/>
    </row>
    <row r="612" spans="5:8" ht="13.5" customHeight="1" ns3:dyDescent="0.3">
      <c r="E612" s="1"/>
      <c r="F612" s="1"/>
      <c r="G612" s="28"/>
      <c r="H612" s="1"/>
    </row>
    <row r="613" spans="5:8" ht="13.5" customHeight="1" ns3:dyDescent="0.3">
      <c r="E613" s="1"/>
      <c r="F613" s="1"/>
      <c r="G613" s="28"/>
      <c r="H613" s="1"/>
    </row>
    <row r="614" spans="5:8" ht="13.5" customHeight="1" ns3:dyDescent="0.3">
      <c r="E614" s="1"/>
      <c r="F614" s="1"/>
      <c r="G614" s="28"/>
      <c r="H614" s="1"/>
    </row>
    <row r="615" spans="5:8" ht="13.5" customHeight="1" ns3:dyDescent="0.3">
      <c r="E615" s="1"/>
      <c r="F615" s="1"/>
      <c r="G615" s="28"/>
      <c r="H615" s="1"/>
    </row>
    <row r="616" spans="5:8" ht="13.5" customHeight="1" ns3:dyDescent="0.3">
      <c r="E616" s="1"/>
      <c r="F616" s="1"/>
      <c r="G616" s="28"/>
      <c r="H616" s="1"/>
    </row>
    <row r="617" spans="5:8" ht="13.5" customHeight="1" ns3:dyDescent="0.3">
      <c r="E617" s="1"/>
      <c r="F617" s="1"/>
      <c r="G617" s="28"/>
      <c r="H617" s="1"/>
    </row>
    <row r="618" spans="5:8" ht="13.5" customHeight="1" ns3:dyDescent="0.3">
      <c r="E618" s="1"/>
      <c r="F618" s="1"/>
      <c r="G618" s="28"/>
      <c r="H618" s="1"/>
    </row>
    <row r="619" spans="5:8" ht="13.5" customHeight="1" ns3:dyDescent="0.3">
      <c r="E619" s="1"/>
      <c r="F619" s="1"/>
      <c r="G619" s="28"/>
      <c r="H619" s="1"/>
    </row>
    <row r="620" spans="5:8" ht="13.5" customHeight="1" ns3:dyDescent="0.3">
      <c r="E620" s="1"/>
      <c r="F620" s="1"/>
      <c r="G620" s="28"/>
      <c r="H620" s="1"/>
    </row>
    <row r="621" spans="5:8" ht="13.5" customHeight="1" ns3:dyDescent="0.3">
      <c r="E621" s="1"/>
      <c r="F621" s="1"/>
      <c r="G621" s="28"/>
      <c r="H621" s="1"/>
    </row>
    <row r="622" spans="5:8" ht="13.5" customHeight="1" ns3:dyDescent="0.3">
      <c r="E622" s="1"/>
      <c r="F622" s="1"/>
      <c r="G622" s="28"/>
      <c r="H622" s="1"/>
    </row>
    <row r="623" spans="5:8" ht="13.5" customHeight="1" ns3:dyDescent="0.3">
      <c r="E623" s="1"/>
      <c r="F623" s="1"/>
      <c r="G623" s="28"/>
      <c r="H623" s="1"/>
    </row>
    <row r="624" spans="5:8" ht="13.5" customHeight="1" ns3:dyDescent="0.3">
      <c r="E624" s="1"/>
      <c r="F624" s="1"/>
      <c r="G624" s="28"/>
      <c r="H624" s="1"/>
    </row>
    <row r="625" spans="5:8" ht="13.5" customHeight="1" ns3:dyDescent="0.3">
      <c r="E625" s="1"/>
      <c r="F625" s="1"/>
      <c r="G625" s="28"/>
      <c r="H625" s="1"/>
    </row>
    <row r="626" spans="5:8" ht="13.5" customHeight="1" ns3:dyDescent="0.3">
      <c r="E626" s="1"/>
      <c r="F626" s="1"/>
      <c r="G626" s="28"/>
      <c r="H626" s="1"/>
    </row>
    <row r="627" spans="5:8" ht="13.5" customHeight="1" ns3:dyDescent="0.3">
      <c r="E627" s="1"/>
      <c r="F627" s="1"/>
      <c r="G627" s="28"/>
      <c r="H627" s="1"/>
    </row>
    <row r="628" spans="5:8" ht="13.5" customHeight="1" ns3:dyDescent="0.3">
      <c r="E628" s="1"/>
      <c r="F628" s="1"/>
      <c r="G628" s="28"/>
      <c r="H628" s="1"/>
    </row>
    <row r="629" spans="5:8" ht="13.5" customHeight="1" ns3:dyDescent="0.3">
      <c r="E629" s="1"/>
      <c r="F629" s="1"/>
      <c r="G629" s="28"/>
      <c r="H629" s="1"/>
    </row>
    <row r="630" spans="5:8" ht="13.5" customHeight="1" ns3:dyDescent="0.3">
      <c r="E630" s="1"/>
      <c r="F630" s="1"/>
      <c r="G630" s="28"/>
      <c r="H630" s="1"/>
    </row>
    <row r="631" spans="5:8" ht="13.5" customHeight="1" ns3:dyDescent="0.3">
      <c r="E631" s="1"/>
      <c r="F631" s="1"/>
      <c r="G631" s="28"/>
      <c r="H631" s="1"/>
    </row>
    <row r="632" spans="5:8" ht="13.5" customHeight="1" ns3:dyDescent="0.3">
      <c r="E632" s="1"/>
      <c r="F632" s="1"/>
      <c r="G632" s="28"/>
      <c r="H632" s="1"/>
    </row>
    <row r="633" spans="5:8" ht="13.5" customHeight="1" ns3:dyDescent="0.3">
      <c r="E633" s="1"/>
      <c r="F633" s="1"/>
      <c r="G633" s="28"/>
      <c r="H633" s="1"/>
    </row>
    <row r="634" spans="5:8" ht="13.5" customHeight="1" ns3:dyDescent="0.3">
      <c r="E634" s="1"/>
      <c r="F634" s="1"/>
      <c r="G634" s="28"/>
      <c r="H634" s="1"/>
    </row>
    <row r="635" spans="5:8" ht="13.5" customHeight="1" ns3:dyDescent="0.3">
      <c r="E635" s="1"/>
      <c r="F635" s="1"/>
      <c r="G635" s="28"/>
      <c r="H635" s="1"/>
    </row>
    <row r="636" spans="5:8" ht="13.5" customHeight="1" ns3:dyDescent="0.3">
      <c r="E636" s="1"/>
      <c r="F636" s="1"/>
      <c r="G636" s="28"/>
      <c r="H636" s="1"/>
    </row>
    <row r="637" spans="5:8" ht="13.5" customHeight="1" ns3:dyDescent="0.3">
      <c r="E637" s="1"/>
      <c r="F637" s="1"/>
      <c r="G637" s="28"/>
      <c r="H637" s="1"/>
    </row>
    <row r="638" spans="5:8" ht="13.5" customHeight="1" ns3:dyDescent="0.3">
      <c r="E638" s="1"/>
      <c r="F638" s="1"/>
      <c r="G638" s="28"/>
      <c r="H638" s="1"/>
    </row>
    <row r="639" spans="5:8" ht="13.5" customHeight="1" ns3:dyDescent="0.3">
      <c r="E639" s="1"/>
      <c r="F639" s="1"/>
      <c r="G639" s="28"/>
      <c r="H639" s="1"/>
    </row>
    <row r="640" spans="5:8" ht="13.5" customHeight="1" ns3:dyDescent="0.3">
      <c r="E640" s="1"/>
      <c r="F640" s="1"/>
      <c r="G640" s="28"/>
      <c r="H640" s="1"/>
    </row>
    <row r="641" spans="5:8" ht="13.5" customHeight="1" ns3:dyDescent="0.3">
      <c r="E641" s="1"/>
      <c r="F641" s="1"/>
      <c r="G641" s="28"/>
      <c r="H641" s="1"/>
    </row>
    <row r="642" spans="5:8" ht="13.5" customHeight="1" ns3:dyDescent="0.3">
      <c r="E642" s="1"/>
      <c r="F642" s="1"/>
      <c r="G642" s="28"/>
      <c r="H642" s="1"/>
    </row>
    <row r="643" spans="5:8" ht="13.5" customHeight="1" ns3:dyDescent="0.3">
      <c r="E643" s="1"/>
      <c r="F643" s="1"/>
      <c r="G643" s="28"/>
      <c r="H643" s="1"/>
    </row>
    <row r="644" spans="5:8" ht="13.5" customHeight="1" ns3:dyDescent="0.3">
      <c r="E644" s="1"/>
      <c r="F644" s="1"/>
      <c r="G644" s="28"/>
      <c r="H644" s="1"/>
    </row>
    <row r="645" spans="5:8" ht="13.5" customHeight="1" ns3:dyDescent="0.3">
      <c r="E645" s="1"/>
      <c r="F645" s="1"/>
      <c r="G645" s="28"/>
      <c r="H645" s="1"/>
    </row>
    <row r="646" spans="5:8" ht="13.5" customHeight="1" ns3:dyDescent="0.3">
      <c r="E646" s="1"/>
      <c r="F646" s="1"/>
      <c r="G646" s="28"/>
      <c r="H646" s="1"/>
    </row>
    <row r="647" spans="5:8" ht="13.5" customHeight="1" ns3:dyDescent="0.3">
      <c r="E647" s="1"/>
      <c r="F647" s="1"/>
      <c r="G647" s="28"/>
      <c r="H647" s="1"/>
    </row>
    <row r="648" spans="5:8" ht="13.5" customHeight="1" ns3:dyDescent="0.3">
      <c r="E648" s="1"/>
      <c r="F648" s="1"/>
      <c r="G648" s="28"/>
      <c r="H648" s="1"/>
    </row>
    <row r="649" spans="5:8" ht="13.5" customHeight="1" ns3:dyDescent="0.3">
      <c r="E649" s="1"/>
      <c r="F649" s="1"/>
      <c r="G649" s="28"/>
      <c r="H649" s="1"/>
    </row>
    <row r="650" spans="5:8" ht="13.5" customHeight="1" ns3:dyDescent="0.3">
      <c r="E650" s="1"/>
      <c r="F650" s="1"/>
      <c r="G650" s="28"/>
      <c r="H650" s="1"/>
    </row>
    <row r="651" spans="5:8" ht="13.5" customHeight="1" ns3:dyDescent="0.3">
      <c r="E651" s="1"/>
      <c r="F651" s="1"/>
      <c r="G651" s="28"/>
      <c r="H651" s="1"/>
    </row>
    <row r="652" spans="5:8" ht="13.5" customHeight="1" ns3:dyDescent="0.3">
      <c r="E652" s="1"/>
      <c r="F652" s="1"/>
      <c r="G652" s="28"/>
      <c r="H652" s="1"/>
    </row>
    <row r="653" spans="5:8" ht="13.5" customHeight="1" ns3:dyDescent="0.3">
      <c r="E653" s="1"/>
      <c r="F653" s="1"/>
      <c r="G653" s="28"/>
      <c r="H653" s="1"/>
    </row>
    <row r="654" spans="5:8" ht="13.5" customHeight="1" ns3:dyDescent="0.3">
      <c r="E654" s="1"/>
      <c r="F654" s="1"/>
      <c r="G654" s="28"/>
      <c r="H654" s="1"/>
    </row>
    <row r="655" spans="5:8" ht="13.5" customHeight="1" ns3:dyDescent="0.3">
      <c r="E655" s="1"/>
      <c r="F655" s="1"/>
      <c r="G655" s="28"/>
      <c r="H655" s="1"/>
    </row>
    <row r="656" spans="5:8" ht="13.5" customHeight="1" ns3:dyDescent="0.3">
      <c r="E656" s="1"/>
      <c r="F656" s="1"/>
      <c r="G656" s="28"/>
      <c r="H656" s="1"/>
    </row>
    <row r="657" spans="5:8" ht="13.5" customHeight="1" ns3:dyDescent="0.3">
      <c r="E657" s="1"/>
      <c r="F657" s="1"/>
      <c r="G657" s="28"/>
      <c r="H657" s="1"/>
    </row>
    <row r="658" spans="5:8" ht="13.5" customHeight="1" ns3:dyDescent="0.3">
      <c r="E658" s="1"/>
      <c r="F658" s="1"/>
      <c r="G658" s="28"/>
      <c r="H658" s="1"/>
    </row>
    <row r="659" spans="5:8" ht="13.5" customHeight="1" ns3:dyDescent="0.3">
      <c r="E659" s="1"/>
      <c r="F659" s="1"/>
      <c r="G659" s="28"/>
      <c r="H659" s="1"/>
    </row>
    <row r="660" spans="5:8" ht="13.5" customHeight="1" ns3:dyDescent="0.3">
      <c r="E660" s="1"/>
      <c r="F660" s="1"/>
      <c r="G660" s="28"/>
      <c r="H660" s="1"/>
    </row>
    <row r="661" spans="5:8" ht="13.5" customHeight="1" ns3:dyDescent="0.3">
      <c r="E661" s="1"/>
      <c r="F661" s="1"/>
      <c r="G661" s="28"/>
      <c r="H661" s="1"/>
    </row>
    <row r="662" spans="5:8" ht="13.5" customHeight="1" ns3:dyDescent="0.3">
      <c r="E662" s="1"/>
      <c r="F662" s="1"/>
      <c r="G662" s="28"/>
      <c r="H662" s="1"/>
    </row>
    <row r="663" spans="5:8" ht="13.5" customHeight="1" ns3:dyDescent="0.3">
      <c r="E663" s="1"/>
      <c r="F663" s="1"/>
      <c r="G663" s="28"/>
      <c r="H663" s="1"/>
    </row>
    <row r="664" spans="5:8" ht="13.5" customHeight="1" ns3:dyDescent="0.3">
      <c r="E664" s="1"/>
      <c r="F664" s="1"/>
      <c r="G664" s="28"/>
      <c r="H664" s="1"/>
    </row>
    <row r="665" spans="5:8" ht="13.5" customHeight="1" ns3:dyDescent="0.3">
      <c r="E665" s="1"/>
      <c r="F665" s="1"/>
      <c r="G665" s="28"/>
      <c r="H665" s="1"/>
    </row>
    <row r="666" spans="5:8" ht="13.5" customHeight="1" ns3:dyDescent="0.3">
      <c r="E666" s="1"/>
      <c r="F666" s="1"/>
      <c r="G666" s="28"/>
      <c r="H666" s="1"/>
    </row>
    <row r="667" spans="5:8" ht="13.5" customHeight="1" ns3:dyDescent="0.3">
      <c r="E667" s="1"/>
      <c r="F667" s="1"/>
      <c r="G667" s="28"/>
      <c r="H667" s="1"/>
    </row>
    <row r="668" spans="5:8" ht="13.5" customHeight="1" ns3:dyDescent="0.3">
      <c r="E668" s="1"/>
      <c r="F668" s="1"/>
      <c r="G668" s="28"/>
      <c r="H668" s="1"/>
    </row>
    <row r="669" spans="5:8" ht="13.5" customHeight="1" ns3:dyDescent="0.3">
      <c r="E669" s="1"/>
      <c r="F669" s="1"/>
      <c r="G669" s="28"/>
      <c r="H669" s="1"/>
    </row>
    <row r="670" spans="5:8" ht="13.5" customHeight="1" ns3:dyDescent="0.3">
      <c r="E670" s="1"/>
      <c r="F670" s="1"/>
      <c r="G670" s="28"/>
      <c r="H670" s="1"/>
    </row>
    <row r="671" spans="5:8" ht="13.5" customHeight="1" ns3:dyDescent="0.3">
      <c r="E671" s="1"/>
      <c r="F671" s="1"/>
      <c r="G671" s="28"/>
      <c r="H671" s="1"/>
    </row>
    <row r="672" spans="5:8" ht="13.5" customHeight="1" ns3:dyDescent="0.3">
      <c r="E672" s="1"/>
      <c r="F672" s="1"/>
      <c r="G672" s="28"/>
      <c r="H672" s="1"/>
    </row>
    <row r="673" spans="5:8" ht="13.5" customHeight="1" ns3:dyDescent="0.3">
      <c r="E673" s="1"/>
      <c r="F673" s="1"/>
      <c r="G673" s="28"/>
      <c r="H673" s="1"/>
    </row>
    <row r="674" spans="5:8" ht="13.5" customHeight="1" ns3:dyDescent="0.3">
      <c r="E674" s="1"/>
      <c r="F674" s="1"/>
      <c r="G674" s="28"/>
      <c r="H674" s="1"/>
    </row>
    <row r="675" spans="5:8" ht="13.5" customHeight="1" ns3:dyDescent="0.3">
      <c r="E675" s="1"/>
      <c r="F675" s="1"/>
      <c r="G675" s="28"/>
      <c r="H675" s="1"/>
    </row>
    <row r="676" spans="5:8" ht="13.5" customHeight="1" ns3:dyDescent="0.3">
      <c r="E676" s="1"/>
      <c r="F676" s="1"/>
      <c r="G676" s="28"/>
      <c r="H676" s="1"/>
    </row>
    <row r="677" spans="5:8" ht="13.5" customHeight="1" ns3:dyDescent="0.3">
      <c r="E677" s="1"/>
      <c r="F677" s="1"/>
      <c r="G677" s="28"/>
      <c r="H677" s="1"/>
    </row>
    <row r="678" spans="5:8" ht="13.5" customHeight="1" ns3:dyDescent="0.3">
      <c r="E678" s="1"/>
      <c r="F678" s="1"/>
      <c r="G678" s="28"/>
      <c r="H678" s="1"/>
    </row>
    <row r="679" spans="5:8" ht="13.5" customHeight="1" ns3:dyDescent="0.3">
      <c r="E679" s="1"/>
      <c r="F679" s="1"/>
      <c r="G679" s="28"/>
      <c r="H679" s="1"/>
    </row>
    <row r="680" spans="5:8" ht="13.5" customHeight="1" ns3:dyDescent="0.3">
      <c r="E680" s="1"/>
      <c r="F680" s="1"/>
      <c r="G680" s="28"/>
      <c r="H680" s="1"/>
    </row>
    <row r="681" spans="5:8" ht="13.5" customHeight="1" ns3:dyDescent="0.3">
      <c r="E681" s="1"/>
      <c r="F681" s="1"/>
      <c r="G681" s="28"/>
      <c r="H681" s="1"/>
    </row>
    <row r="682" spans="5:8" ht="13.5" customHeight="1" ns3:dyDescent="0.3">
      <c r="E682" s="1"/>
      <c r="F682" s="1"/>
      <c r="G682" s="28"/>
      <c r="H682" s="1"/>
    </row>
    <row r="683" spans="5:8" ht="13.5" customHeight="1" ns3:dyDescent="0.3">
      <c r="E683" s="1"/>
      <c r="F683" s="1"/>
      <c r="G683" s="28"/>
      <c r="H683" s="1"/>
    </row>
    <row r="684" spans="5:8" ht="13.5" customHeight="1" ns3:dyDescent="0.3">
      <c r="E684" s="1"/>
      <c r="F684" s="1"/>
      <c r="G684" s="28"/>
      <c r="H684" s="1"/>
    </row>
    <row r="685" spans="5:8" ht="13.5" customHeight="1" ns3:dyDescent="0.3">
      <c r="E685" s="1"/>
      <c r="F685" s="1"/>
      <c r="G685" s="28"/>
      <c r="H685" s="1"/>
    </row>
    <row r="686" spans="5:8" ht="13.5" customHeight="1" ns3:dyDescent="0.3">
      <c r="E686" s="1"/>
      <c r="F686" s="1"/>
      <c r="G686" s="28"/>
      <c r="H686" s="1"/>
    </row>
    <row r="687" spans="5:8" ht="13.5" customHeight="1" ns3:dyDescent="0.3">
      <c r="E687" s="1"/>
      <c r="F687" s="1"/>
      <c r="G687" s="28"/>
      <c r="H687" s="1"/>
    </row>
    <row r="688" spans="5:8" ht="13.5" customHeight="1" ns3:dyDescent="0.3">
      <c r="E688" s="1"/>
      <c r="F688" s="1"/>
      <c r="G688" s="28"/>
      <c r="H688" s="1"/>
    </row>
    <row r="689" spans="5:8" ht="13.5" customHeight="1" ns3:dyDescent="0.3">
      <c r="E689" s="1"/>
      <c r="F689" s="1"/>
      <c r="G689" s="28"/>
      <c r="H689" s="1"/>
    </row>
    <row r="690" spans="5:8" ht="13.5" customHeight="1" ns3:dyDescent="0.3">
      <c r="E690" s="1"/>
      <c r="F690" s="1"/>
      <c r="G690" s="28"/>
      <c r="H690" s="1"/>
    </row>
    <row r="691" spans="5:8" ht="13.5" customHeight="1" ns3:dyDescent="0.3">
      <c r="E691" s="1"/>
      <c r="F691" s="1"/>
      <c r="G691" s="28"/>
      <c r="H691" s="1"/>
    </row>
    <row r="692" spans="5:8" ht="13.5" customHeight="1" ns3:dyDescent="0.3">
      <c r="E692" s="1"/>
      <c r="F692" s="1"/>
      <c r="G692" s="28"/>
      <c r="H692" s="1"/>
    </row>
    <row r="693" spans="5:8" ht="13.5" customHeight="1" ns3:dyDescent="0.3">
      <c r="E693" s="1"/>
      <c r="F693" s="1"/>
      <c r="G693" s="28"/>
      <c r="H693" s="1"/>
    </row>
    <row r="694" spans="5:8" ht="13.5" customHeight="1" ns3:dyDescent="0.3">
      <c r="E694" s="1"/>
      <c r="F694" s="1"/>
      <c r="G694" s="28"/>
      <c r="H694" s="1"/>
    </row>
    <row r="695" spans="5:8" ht="13.5" customHeight="1" ns3:dyDescent="0.3">
      <c r="E695" s="1"/>
      <c r="F695" s="1"/>
      <c r="G695" s="28"/>
      <c r="H695" s="1"/>
    </row>
    <row r="696" spans="5:8" ht="13.5" customHeight="1" ns3:dyDescent="0.3">
      <c r="E696" s="1"/>
      <c r="F696" s="1"/>
      <c r="G696" s="28"/>
      <c r="H696" s="1"/>
    </row>
    <row r="697" spans="5:8" ht="13.5" customHeight="1" ns3:dyDescent="0.3">
      <c r="E697" s="1"/>
      <c r="F697" s="1"/>
      <c r="G697" s="28"/>
      <c r="H697" s="1"/>
    </row>
    <row r="698" spans="5:8" ht="13.5" customHeight="1" ns3:dyDescent="0.3">
      <c r="E698" s="1"/>
      <c r="F698" s="1"/>
      <c r="G698" s="28"/>
      <c r="H698" s="1"/>
    </row>
    <row r="699" spans="5:8" ht="13.5" customHeight="1" ns3:dyDescent="0.3">
      <c r="E699" s="1"/>
      <c r="F699" s="1"/>
      <c r="G699" s="28"/>
      <c r="H699" s="1"/>
    </row>
    <row r="700" spans="5:8" ht="13.5" customHeight="1" ns3:dyDescent="0.3">
      <c r="E700" s="1"/>
      <c r="F700" s="1"/>
      <c r="G700" s="28"/>
      <c r="H700" s="1"/>
    </row>
    <row r="701" spans="5:8" ht="13.5" customHeight="1" ns3:dyDescent="0.3">
      <c r="E701" s="1"/>
      <c r="F701" s="1"/>
      <c r="G701" s="28"/>
      <c r="H701" s="1"/>
    </row>
    <row r="702" spans="5:8" ht="13.5" customHeight="1" ns3:dyDescent="0.3">
      <c r="E702" s="1"/>
      <c r="F702" s="1"/>
      <c r="G702" s="28"/>
      <c r="H702" s="1"/>
    </row>
    <row r="703" spans="5:8" ht="13.5" customHeight="1" ns3:dyDescent="0.3">
      <c r="E703" s="1"/>
      <c r="F703" s="1"/>
      <c r="G703" s="28"/>
      <c r="H703" s="1"/>
    </row>
    <row r="704" spans="5:8" ht="13.5" customHeight="1" ns3:dyDescent="0.3">
      <c r="E704" s="1"/>
      <c r="F704" s="1"/>
      <c r="G704" s="28"/>
      <c r="H704" s="1"/>
    </row>
    <row r="705" spans="5:8" ht="13.5" customHeight="1" ns3:dyDescent="0.3">
      <c r="E705" s="1"/>
      <c r="F705" s="1"/>
      <c r="G705" s="28"/>
      <c r="H705" s="1"/>
    </row>
    <row r="706" spans="5:8" ht="13.5" customHeight="1" ns3:dyDescent="0.3">
      <c r="E706" s="1"/>
      <c r="F706" s="1"/>
      <c r="G706" s="28"/>
      <c r="H706" s="1"/>
    </row>
    <row r="707" spans="5:8" ht="13.5" customHeight="1" ns3:dyDescent="0.3">
      <c r="E707" s="1"/>
      <c r="F707" s="1"/>
      <c r="G707" s="28"/>
      <c r="H707" s="1"/>
    </row>
    <row r="708" spans="5:8" ht="13.5" customHeight="1" ns3:dyDescent="0.3">
      <c r="E708" s="1"/>
      <c r="F708" s="1"/>
      <c r="G708" s="28"/>
      <c r="H708" s="1"/>
    </row>
    <row r="709" spans="5:8" ht="13.5" customHeight="1" ns3:dyDescent="0.3">
      <c r="E709" s="1"/>
      <c r="F709" s="1"/>
      <c r="G709" s="28"/>
      <c r="H709" s="1"/>
    </row>
    <row r="710" spans="5:8" ht="13.5" customHeight="1" ns3:dyDescent="0.3">
      <c r="E710" s="1"/>
      <c r="F710" s="1"/>
      <c r="G710" s="28"/>
      <c r="H710" s="1"/>
    </row>
    <row r="711" spans="5:8" ht="13.5" customHeight="1" ns3:dyDescent="0.3">
      <c r="E711" s="1"/>
      <c r="F711" s="1"/>
      <c r="G711" s="28"/>
      <c r="H711" s="1"/>
    </row>
    <row r="712" spans="5:8" ht="13.5" customHeight="1" ns3:dyDescent="0.3">
      <c r="E712" s="1"/>
      <c r="F712" s="1"/>
      <c r="G712" s="28"/>
      <c r="H712" s="1"/>
    </row>
    <row r="713" spans="5:8" ht="13.5" customHeight="1" ns3:dyDescent="0.3">
      <c r="E713" s="1"/>
      <c r="F713" s="1"/>
      <c r="G713" s="28"/>
      <c r="H713" s="1"/>
    </row>
    <row r="714" spans="5:8" ht="13.5" customHeight="1" ns3:dyDescent="0.3">
      <c r="E714" s="1"/>
      <c r="F714" s="1"/>
      <c r="G714" s="28"/>
      <c r="H714" s="1"/>
    </row>
    <row r="715" spans="5:8" ht="13.5" customHeight="1" ns3:dyDescent="0.3">
      <c r="E715" s="1"/>
      <c r="F715" s="1"/>
      <c r="G715" s="28"/>
      <c r="H715" s="1"/>
    </row>
    <row r="716" spans="5:8" ht="13.5" customHeight="1" ns3:dyDescent="0.3">
      <c r="E716" s="1"/>
      <c r="F716" s="1"/>
      <c r="G716" s="28"/>
      <c r="H716" s="1"/>
    </row>
    <row r="717" spans="5:8" ht="13.5" customHeight="1" ns3:dyDescent="0.3">
      <c r="E717" s="1"/>
      <c r="F717" s="1"/>
      <c r="G717" s="28"/>
      <c r="H717" s="1"/>
    </row>
    <row r="718" spans="5:8" ht="13.5" customHeight="1" ns3:dyDescent="0.3">
      <c r="E718" s="1"/>
      <c r="F718" s="1"/>
      <c r="G718" s="28"/>
      <c r="H718" s="1"/>
    </row>
    <row r="719" spans="5:8" ht="13.5" customHeight="1" ns3:dyDescent="0.3">
      <c r="E719" s="1"/>
      <c r="F719" s="1"/>
      <c r="G719" s="28"/>
      <c r="H719" s="1"/>
    </row>
    <row r="720" spans="5:8" ht="13.5" customHeight="1" ns3:dyDescent="0.3">
      <c r="E720" s="1"/>
      <c r="F720" s="1"/>
      <c r="G720" s="28"/>
      <c r="H720" s="1"/>
    </row>
    <row r="721" spans="5:8" ht="13.5" customHeight="1" ns3:dyDescent="0.3">
      <c r="E721" s="1"/>
      <c r="F721" s="1"/>
      <c r="G721" s="28"/>
      <c r="H721" s="1"/>
    </row>
    <row r="722" spans="5:8" ht="13.5" customHeight="1" ns3:dyDescent="0.3">
      <c r="E722" s="1"/>
      <c r="F722" s="1"/>
      <c r="G722" s="28"/>
      <c r="H722" s="1"/>
    </row>
    <row r="723" spans="5:8" ht="13.5" customHeight="1" ns3:dyDescent="0.3">
      <c r="E723" s="1"/>
      <c r="F723" s="1"/>
      <c r="G723" s="28"/>
      <c r="H723" s="1"/>
    </row>
    <row r="724" spans="5:8" ht="13.5" customHeight="1" ns3:dyDescent="0.3">
      <c r="E724" s="1"/>
      <c r="F724" s="1"/>
      <c r="G724" s="28"/>
      <c r="H724" s="1"/>
    </row>
    <row r="725" spans="5:8" ht="13.5" customHeight="1" ns3:dyDescent="0.3">
      <c r="E725" s="1"/>
      <c r="F725" s="1"/>
      <c r="G725" s="28"/>
      <c r="H725" s="1"/>
    </row>
    <row r="726" spans="5:8" ht="13.5" customHeight="1" ns3:dyDescent="0.3">
      <c r="E726" s="1"/>
      <c r="F726" s="1"/>
      <c r="G726" s="28"/>
      <c r="H726" s="1"/>
    </row>
    <row r="727" spans="5:8" ht="13.5" customHeight="1" ns3:dyDescent="0.3">
      <c r="E727" s="1"/>
      <c r="F727" s="1"/>
      <c r="G727" s="28"/>
      <c r="H727" s="1"/>
    </row>
    <row r="728" spans="5:8" ht="13.5" customHeight="1" ns3:dyDescent="0.3">
      <c r="E728" s="1"/>
      <c r="F728" s="1"/>
      <c r="G728" s="28"/>
      <c r="H728" s="1"/>
    </row>
    <row r="729" spans="5:8" ht="13.5" customHeight="1" ns3:dyDescent="0.3">
      <c r="E729" s="1"/>
      <c r="F729" s="1"/>
      <c r="G729" s="28"/>
      <c r="H729" s="1"/>
    </row>
    <row r="730" spans="5:8" ht="13.5" customHeight="1" ns3:dyDescent="0.3">
      <c r="E730" s="1"/>
      <c r="F730" s="1"/>
      <c r="G730" s="28"/>
      <c r="H730" s="1"/>
    </row>
    <row r="731" spans="5:8" ht="13.5" customHeight="1" ns3:dyDescent="0.3">
      <c r="E731" s="1"/>
      <c r="F731" s="1"/>
      <c r="G731" s="28"/>
      <c r="H731" s="1"/>
    </row>
    <row r="732" spans="5:8" ht="13.5" customHeight="1" ns3:dyDescent="0.3">
      <c r="E732" s="1"/>
      <c r="F732" s="1"/>
      <c r="G732" s="28"/>
      <c r="H732" s="1"/>
    </row>
    <row r="733" spans="5:8" ht="13.5" customHeight="1" ns3:dyDescent="0.3">
      <c r="E733" s="1"/>
      <c r="F733" s="1"/>
      <c r="G733" s="28"/>
      <c r="H733" s="1"/>
    </row>
    <row r="734" spans="5:8" ht="13.5" customHeight="1" ns3:dyDescent="0.3">
      <c r="E734" s="1"/>
      <c r="F734" s="1"/>
      <c r="G734" s="28"/>
      <c r="H734" s="1"/>
    </row>
    <row r="735" spans="5:8" ht="13.5" customHeight="1" ns3:dyDescent="0.3">
      <c r="E735" s="1"/>
      <c r="F735" s="1"/>
      <c r="G735" s="28"/>
      <c r="H735" s="1"/>
    </row>
    <row r="736" spans="5:8" ht="13.5" customHeight="1" ns3:dyDescent="0.3">
      <c r="E736" s="1"/>
      <c r="F736" s="1"/>
      <c r="G736" s="28"/>
      <c r="H736" s="1"/>
    </row>
    <row r="737" spans="5:8" ht="13.5" customHeight="1" ns3:dyDescent="0.3">
      <c r="E737" s="1"/>
      <c r="F737" s="1"/>
      <c r="G737" s="28"/>
      <c r="H737" s="1"/>
    </row>
    <row r="738" spans="5:8" ht="13.5" customHeight="1" ns3:dyDescent="0.3">
      <c r="E738" s="1"/>
      <c r="F738" s="1"/>
      <c r="G738" s="28"/>
      <c r="H738" s="1"/>
    </row>
    <row r="739" spans="5:8" ht="13.5" customHeight="1" ns3:dyDescent="0.3">
      <c r="E739" s="1"/>
      <c r="F739" s="1"/>
      <c r="G739" s="28"/>
      <c r="H739" s="1"/>
    </row>
    <row r="740" spans="5:8" ht="13.5" customHeight="1" ns3:dyDescent="0.3">
      <c r="E740" s="1"/>
      <c r="F740" s="1"/>
      <c r="G740" s="28"/>
      <c r="H740" s="1"/>
    </row>
    <row r="741" spans="5:8" ht="13.5" customHeight="1" ns3:dyDescent="0.3">
      <c r="E741" s="1"/>
      <c r="F741" s="1"/>
      <c r="G741" s="28"/>
      <c r="H741" s="1"/>
    </row>
    <row r="742" spans="5:8" ht="13.5" customHeight="1" ns3:dyDescent="0.3">
      <c r="E742" s="1"/>
      <c r="F742" s="1"/>
      <c r="G742" s="28"/>
      <c r="H742" s="1"/>
    </row>
    <row r="743" spans="5:8" ht="13.5" customHeight="1" ns3:dyDescent="0.3">
      <c r="E743" s="1"/>
      <c r="F743" s="1"/>
      <c r="G743" s="28"/>
      <c r="H743" s="1"/>
    </row>
    <row r="744" spans="5:8" ht="13.5" customHeight="1" ns3:dyDescent="0.3">
      <c r="E744" s="1"/>
      <c r="F744" s="1"/>
      <c r="G744" s="28"/>
      <c r="H744" s="1"/>
    </row>
    <row r="745" spans="5:8" ht="13.5" customHeight="1" ns3:dyDescent="0.3">
      <c r="E745" s="1"/>
      <c r="F745" s="1"/>
      <c r="G745" s="28"/>
      <c r="H745" s="1"/>
    </row>
    <row r="746" spans="5:8" ht="13.5" customHeight="1" ns3:dyDescent="0.3">
      <c r="E746" s="1"/>
      <c r="F746" s="1"/>
      <c r="G746" s="28"/>
      <c r="H746" s="1"/>
    </row>
    <row r="747" spans="5:8" ht="13.5" customHeight="1" ns3:dyDescent="0.3">
      <c r="E747" s="1"/>
      <c r="F747" s="1"/>
      <c r="G747" s="28"/>
      <c r="H747" s="1"/>
    </row>
    <row r="748" spans="5:8" ht="13.5" customHeight="1" ns3:dyDescent="0.3">
      <c r="E748" s="1"/>
      <c r="F748" s="1"/>
      <c r="G748" s="28"/>
      <c r="H748" s="1"/>
    </row>
    <row r="749" spans="5:8" ht="13.5" customHeight="1" ns3:dyDescent="0.3">
      <c r="E749" s="1"/>
      <c r="F749" s="1"/>
      <c r="G749" s="28"/>
      <c r="H749" s="1"/>
    </row>
    <row r="750" spans="5:8" ht="13.5" customHeight="1" ns3:dyDescent="0.3">
      <c r="E750" s="1"/>
      <c r="F750" s="1"/>
      <c r="G750" s="28"/>
      <c r="H750" s="1"/>
    </row>
    <row r="751" spans="5:8" ht="13.5" customHeight="1" ns3:dyDescent="0.3">
      <c r="E751" s="1"/>
      <c r="F751" s="1"/>
      <c r="G751" s="28"/>
      <c r="H751" s="1"/>
    </row>
    <row r="752" spans="5:8" ht="13.5" customHeight="1" ns3:dyDescent="0.3">
      <c r="E752" s="1"/>
      <c r="F752" s="1"/>
      <c r="G752" s="28"/>
      <c r="H752" s="1"/>
    </row>
    <row r="753" spans="5:8" ht="13.5" customHeight="1" ns3:dyDescent="0.3">
      <c r="E753" s="1"/>
      <c r="F753" s="1"/>
      <c r="G753" s="28"/>
      <c r="H753" s="1"/>
    </row>
    <row r="754" spans="5:8" ht="13.5" customHeight="1" ns3:dyDescent="0.3">
      <c r="E754" s="1"/>
      <c r="F754" s="1"/>
      <c r="G754" s="28"/>
      <c r="H754" s="1"/>
    </row>
    <row r="755" spans="5:8" ht="13.5" customHeight="1" ns3:dyDescent="0.3">
      <c r="E755" s="1"/>
      <c r="F755" s="1"/>
      <c r="G755" s="28"/>
      <c r="H755" s="1"/>
    </row>
    <row r="756" spans="5:8" ht="13.5" customHeight="1" ns3:dyDescent="0.3">
      <c r="E756" s="1"/>
      <c r="F756" s="1"/>
      <c r="G756" s="28"/>
      <c r="H756" s="1"/>
    </row>
    <row r="757" spans="5:8" ht="13.5" customHeight="1" ns3:dyDescent="0.3">
      <c r="E757" s="1"/>
      <c r="F757" s="1"/>
      <c r="G757" s="28"/>
      <c r="H757" s="1"/>
    </row>
    <row r="758" spans="5:8" ht="13.5" customHeight="1" ns3:dyDescent="0.3">
      <c r="E758" s="1"/>
      <c r="F758" s="1"/>
      <c r="G758" s="28"/>
      <c r="H758" s="1"/>
    </row>
    <row r="759" spans="5:8" ht="13.5" customHeight="1" ns3:dyDescent="0.3">
      <c r="E759" s="1"/>
      <c r="F759" s="1"/>
      <c r="G759" s="28"/>
      <c r="H759" s="1"/>
    </row>
    <row r="760" spans="5:8" ht="13.5" customHeight="1" ns3:dyDescent="0.3">
      <c r="E760" s="1"/>
      <c r="F760" s="1"/>
      <c r="G760" s="28"/>
      <c r="H760" s="1"/>
    </row>
    <row r="761" spans="5:8" ht="13.5" customHeight="1" ns3:dyDescent="0.3">
      <c r="E761" s="1"/>
      <c r="F761" s="1"/>
      <c r="G761" s="28"/>
      <c r="H761" s="1"/>
    </row>
    <row r="762" spans="5:8" ht="13.5" customHeight="1" ns3:dyDescent="0.3">
      <c r="E762" s="1"/>
      <c r="F762" s="1"/>
      <c r="G762" s="28"/>
      <c r="H762" s="1"/>
    </row>
    <row r="763" spans="5:8" ht="13.5" customHeight="1" ns3:dyDescent="0.3">
      <c r="E763" s="1"/>
      <c r="F763" s="1"/>
      <c r="G763" s="28"/>
      <c r="H763" s="1"/>
    </row>
    <row r="764" spans="5:8" ht="13.5" customHeight="1" ns3:dyDescent="0.3">
      <c r="E764" s="1"/>
      <c r="F764" s="1"/>
      <c r="G764" s="28"/>
      <c r="H764" s="1"/>
    </row>
    <row r="765" spans="5:8" ht="13.5" customHeight="1" ns3:dyDescent="0.3">
      <c r="E765" s="1"/>
      <c r="F765" s="1"/>
      <c r="G765" s="28"/>
      <c r="H765" s="1"/>
    </row>
    <row r="766" spans="5:8" ht="13.5" customHeight="1" ns3:dyDescent="0.3">
      <c r="E766" s="1"/>
      <c r="F766" s="1"/>
      <c r="G766" s="28"/>
      <c r="H766" s="1"/>
    </row>
    <row r="767" spans="5:8" ht="13.5" customHeight="1" ns3:dyDescent="0.3">
      <c r="E767" s="1"/>
      <c r="F767" s="1"/>
      <c r="G767" s="28"/>
      <c r="H767" s="1"/>
    </row>
    <row r="768" spans="5:8" ht="13.5" customHeight="1" ns3:dyDescent="0.3">
      <c r="E768" s="1"/>
      <c r="F768" s="1"/>
      <c r="G768" s="28"/>
      <c r="H768" s="1"/>
    </row>
    <row r="769" spans="5:8" ht="13.5" customHeight="1" ns3:dyDescent="0.3">
      <c r="E769" s="1"/>
      <c r="F769" s="1"/>
      <c r="G769" s="28"/>
      <c r="H769" s="1"/>
    </row>
    <row r="770" spans="5:8" ht="13.5" customHeight="1" ns3:dyDescent="0.3">
      <c r="E770" s="1"/>
      <c r="F770" s="1"/>
      <c r="G770" s="28"/>
      <c r="H770" s="1"/>
    </row>
    <row r="771" spans="5:8" ht="13.5" customHeight="1" ns3:dyDescent="0.3">
      <c r="E771" s="1"/>
      <c r="F771" s="1"/>
      <c r="G771" s="28"/>
      <c r="H771" s="1"/>
    </row>
    <row r="772" spans="5:8" ht="13.5" customHeight="1" ns3:dyDescent="0.3">
      <c r="E772" s="1"/>
      <c r="F772" s="1"/>
      <c r="G772" s="28"/>
      <c r="H772" s="1"/>
    </row>
    <row r="773" spans="5:8" ht="13.5" customHeight="1" ns3:dyDescent="0.3">
      <c r="E773" s="1"/>
      <c r="F773" s="1"/>
      <c r="G773" s="28"/>
      <c r="H773" s="1"/>
    </row>
    <row r="774" spans="5:8" ht="13.5" customHeight="1" ns3:dyDescent="0.3">
      <c r="E774" s="1"/>
      <c r="F774" s="1"/>
      <c r="G774" s="28"/>
      <c r="H774" s="1"/>
    </row>
    <row r="775" spans="5:8" ht="13.5" customHeight="1" ns3:dyDescent="0.3">
      <c r="E775" s="1"/>
      <c r="F775" s="1"/>
      <c r="G775" s="28"/>
      <c r="H775" s="1"/>
    </row>
    <row r="776" spans="5:8" ht="13.5" customHeight="1" ns3:dyDescent="0.3">
      <c r="E776" s="1"/>
      <c r="F776" s="1"/>
      <c r="G776" s="28"/>
      <c r="H776" s="1"/>
    </row>
    <row r="777" spans="5:8" ht="13.5" customHeight="1" ns3:dyDescent="0.3">
      <c r="E777" s="1"/>
      <c r="F777" s="1"/>
      <c r="G777" s="28"/>
      <c r="H777" s="1"/>
    </row>
    <row r="778" spans="5:8" ht="13.5" customHeight="1" ns3:dyDescent="0.3">
      <c r="E778" s="1"/>
      <c r="F778" s="1"/>
      <c r="G778" s="28"/>
      <c r="H778" s="1"/>
    </row>
    <row r="779" spans="5:8" ht="13.5" customHeight="1" ns3:dyDescent="0.3">
      <c r="E779" s="1"/>
      <c r="F779" s="1"/>
      <c r="G779" s="28"/>
      <c r="H779" s="1"/>
    </row>
    <row r="780" spans="5:8" ht="13.5" customHeight="1" ns3:dyDescent="0.3">
      <c r="E780" s="1"/>
      <c r="F780" s="1"/>
      <c r="G780" s="28"/>
      <c r="H780" s="1"/>
    </row>
    <row r="781" spans="5:8" ht="13.5" customHeight="1" ns3:dyDescent="0.3">
      <c r="E781" s="1"/>
      <c r="F781" s="1"/>
      <c r="G781" s="28"/>
      <c r="H781" s="1"/>
    </row>
    <row r="782" spans="5:8" ht="13.5" customHeight="1" ns3:dyDescent="0.3">
      <c r="E782" s="1"/>
      <c r="F782" s="1"/>
      <c r="G782" s="28"/>
      <c r="H782" s="1"/>
    </row>
    <row r="783" spans="5:8" ht="13.5" customHeight="1" ns3:dyDescent="0.3">
      <c r="E783" s="1"/>
      <c r="F783" s="1"/>
      <c r="G783" s="28"/>
      <c r="H783" s="1"/>
    </row>
    <row r="784" spans="5:8" ht="13.5" customHeight="1" ns3:dyDescent="0.3">
      <c r="E784" s="1"/>
      <c r="F784" s="1"/>
      <c r="G784" s="28"/>
      <c r="H784" s="1"/>
    </row>
    <row r="785" spans="5:8" ht="13.5" customHeight="1" ns3:dyDescent="0.3">
      <c r="E785" s="1"/>
      <c r="F785" s="1"/>
      <c r="G785" s="28"/>
      <c r="H785" s="1"/>
    </row>
    <row r="786" spans="5:8" ht="13.5" customHeight="1" ns3:dyDescent="0.3">
      <c r="E786" s="1"/>
      <c r="F786" s="1"/>
      <c r="G786" s="28"/>
      <c r="H786" s="1"/>
    </row>
    <row r="787" spans="5:8" ht="13.5" customHeight="1" ns3:dyDescent="0.3">
      <c r="E787" s="1"/>
      <c r="F787" s="1"/>
      <c r="G787" s="28"/>
      <c r="H787" s="1"/>
    </row>
    <row r="788" spans="5:8" ht="13.5" customHeight="1" ns3:dyDescent="0.3">
      <c r="E788" s="1"/>
      <c r="F788" s="1"/>
      <c r="G788" s="28"/>
      <c r="H788" s="1"/>
    </row>
    <row r="789" spans="5:8" ht="13.5" customHeight="1" ns3:dyDescent="0.3">
      <c r="E789" s="1"/>
      <c r="F789" s="1"/>
      <c r="G789" s="28"/>
      <c r="H789" s="1"/>
    </row>
    <row r="790" spans="5:8" ht="13.5" customHeight="1" ns3:dyDescent="0.3">
      <c r="E790" s="1"/>
      <c r="F790" s="1"/>
      <c r="G790" s="28"/>
      <c r="H790" s="1"/>
    </row>
    <row r="791" spans="5:8" ht="13.5" customHeight="1" ns3:dyDescent="0.3">
      <c r="E791" s="1"/>
      <c r="F791" s="1"/>
      <c r="G791" s="28"/>
      <c r="H791" s="1"/>
    </row>
    <row r="792" spans="5:8" ht="13.5" customHeight="1" ns3:dyDescent="0.3">
      <c r="E792" s="1"/>
      <c r="F792" s="1"/>
      <c r="G792" s="28"/>
      <c r="H792" s="1"/>
    </row>
    <row r="793" spans="5:8" ht="13.5" customHeight="1" ns3:dyDescent="0.3">
      <c r="E793" s="1"/>
      <c r="F793" s="1"/>
      <c r="G793" s="28"/>
      <c r="H793" s="1"/>
    </row>
    <row r="794" spans="5:8" ht="13.5" customHeight="1" ns3:dyDescent="0.3">
      <c r="E794" s="1"/>
      <c r="F794" s="1"/>
      <c r="G794" s="28"/>
      <c r="H794" s="1"/>
    </row>
    <row r="795" spans="5:8" ht="13.5" customHeight="1" ns3:dyDescent="0.3">
      <c r="E795" s="1"/>
      <c r="F795" s="1"/>
      <c r="G795" s="28"/>
      <c r="H795" s="1"/>
    </row>
    <row r="796" spans="5:8" ht="13.5" customHeight="1" ns3:dyDescent="0.3">
      <c r="E796" s="1"/>
      <c r="F796" s="1"/>
      <c r="G796" s="28"/>
      <c r="H796" s="1"/>
    </row>
    <row r="797" spans="5:8" ht="13.5" customHeight="1" ns3:dyDescent="0.3">
      <c r="E797" s="1"/>
      <c r="F797" s="1"/>
      <c r="G797" s="28"/>
      <c r="H797" s="1"/>
    </row>
    <row r="798" spans="5:8" ht="13.5" customHeight="1" ns3:dyDescent="0.3">
      <c r="E798" s="1"/>
      <c r="F798" s="1"/>
      <c r="G798" s="28"/>
      <c r="H798" s="1"/>
    </row>
    <row r="799" spans="5:8" ht="13.5" customHeight="1" ns3:dyDescent="0.3">
      <c r="E799" s="1"/>
      <c r="F799" s="1"/>
      <c r="G799" s="28"/>
      <c r="H799" s="1"/>
    </row>
    <row r="800" spans="5:8" ht="13.5" customHeight="1" ns3:dyDescent="0.3">
      <c r="E800" s="1"/>
      <c r="F800" s="1"/>
      <c r="G800" s="28"/>
      <c r="H800" s="1"/>
    </row>
    <row r="801" spans="5:8" ht="13.5" customHeight="1" ns3:dyDescent="0.3">
      <c r="E801" s="1"/>
      <c r="F801" s="1"/>
      <c r="G801" s="28"/>
      <c r="H801" s="1"/>
    </row>
    <row r="802" spans="5:8" ht="13.5" customHeight="1" ns3:dyDescent="0.3">
      <c r="E802" s="1"/>
      <c r="F802" s="1"/>
      <c r="G802" s="28"/>
      <c r="H802" s="1"/>
    </row>
    <row r="803" spans="5:8" ht="13.5" customHeight="1" ns3:dyDescent="0.3">
      <c r="E803" s="1"/>
      <c r="F803" s="1"/>
      <c r="G803" s="28"/>
      <c r="H803" s="1"/>
    </row>
    <row r="804" spans="5:8" ht="13.5" customHeight="1" ns3:dyDescent="0.3">
      <c r="E804" s="1"/>
      <c r="F804" s="1"/>
      <c r="G804" s="28"/>
      <c r="H804" s="1"/>
    </row>
    <row r="805" spans="5:8" ht="13.5" customHeight="1" ns3:dyDescent="0.3">
      <c r="E805" s="1"/>
      <c r="F805" s="1"/>
      <c r="G805" s="28"/>
      <c r="H805" s="1"/>
    </row>
    <row r="806" spans="5:8" ht="13.5" customHeight="1" ns3:dyDescent="0.3">
      <c r="E806" s="1"/>
      <c r="F806" s="1"/>
      <c r="G806" s="28"/>
      <c r="H806" s="1"/>
    </row>
    <row r="807" spans="5:8" ht="13.5" customHeight="1" ns3:dyDescent="0.3">
      <c r="E807" s="1"/>
      <c r="F807" s="1"/>
      <c r="G807" s="28"/>
      <c r="H807" s="1"/>
    </row>
    <row r="808" spans="5:8" ht="13.5" customHeight="1" ns3:dyDescent="0.3">
      <c r="E808" s="1"/>
      <c r="F808" s="1"/>
      <c r="G808" s="28"/>
      <c r="H808" s="1"/>
    </row>
    <row r="809" spans="5:8" ht="13.5" customHeight="1" ns3:dyDescent="0.3">
      <c r="E809" s="1"/>
      <c r="F809" s="1"/>
      <c r="G809" s="28"/>
      <c r="H809" s="1"/>
    </row>
    <row r="810" spans="5:8" ht="13.5" customHeight="1" ns3:dyDescent="0.3">
      <c r="E810" s="1"/>
      <c r="F810" s="1"/>
      <c r="G810" s="28"/>
      <c r="H810" s="1"/>
    </row>
    <row r="811" spans="5:8" ht="13.5" customHeight="1" ns3:dyDescent="0.3">
      <c r="E811" s="1"/>
      <c r="F811" s="1"/>
      <c r="G811" s="28"/>
      <c r="H811" s="1"/>
    </row>
    <row r="812" spans="5:8" ht="13.5" customHeight="1" ns3:dyDescent="0.3">
      <c r="E812" s="1"/>
      <c r="F812" s="1"/>
      <c r="G812" s="28"/>
      <c r="H812" s="1"/>
    </row>
    <row r="813" spans="5:8" ht="13.5" customHeight="1" ns3:dyDescent="0.3">
      <c r="E813" s="1"/>
      <c r="F813" s="1"/>
      <c r="G813" s="28"/>
      <c r="H813" s="1"/>
    </row>
    <row r="814" spans="5:8" ht="13.5" customHeight="1" ns3:dyDescent="0.3">
      <c r="E814" s="1"/>
      <c r="F814" s="1"/>
      <c r="G814" s="28"/>
      <c r="H814" s="1"/>
    </row>
    <row r="815" spans="5:8" ht="13.5" customHeight="1" ns3:dyDescent="0.3">
      <c r="E815" s="1"/>
      <c r="F815" s="1"/>
      <c r="G815" s="28"/>
      <c r="H815" s="1"/>
    </row>
    <row r="816" spans="5:8" ht="13.5" customHeight="1" ns3:dyDescent="0.3">
      <c r="E816" s="1"/>
      <c r="F816" s="1"/>
      <c r="G816" s="28"/>
      <c r="H816" s="1"/>
    </row>
    <row r="817" spans="5:8" ht="13.5" customHeight="1" ns3:dyDescent="0.3">
      <c r="E817" s="1"/>
      <c r="F817" s="1"/>
      <c r="G817" s="28"/>
      <c r="H817" s="1"/>
    </row>
    <row r="818" spans="5:8" ht="13.5" customHeight="1" ns3:dyDescent="0.3">
      <c r="E818" s="1"/>
      <c r="F818" s="1"/>
      <c r="G818" s="28"/>
      <c r="H818" s="1"/>
    </row>
    <row r="819" spans="5:8" ht="13.5" customHeight="1" ns3:dyDescent="0.3">
      <c r="E819" s="1"/>
      <c r="F819" s="1"/>
      <c r="G819" s="28"/>
      <c r="H819" s="1"/>
    </row>
    <row r="820" spans="5:8" ht="13.5" customHeight="1" ns3:dyDescent="0.3">
      <c r="E820" s="1"/>
      <c r="F820" s="1"/>
      <c r="G820" s="28"/>
      <c r="H820" s="1"/>
    </row>
    <row r="821" spans="5:8" ht="13.5" customHeight="1" ns3:dyDescent="0.3">
      <c r="E821" s="1"/>
      <c r="F821" s="1"/>
      <c r="G821" s="28"/>
      <c r="H821" s="1"/>
    </row>
    <row r="822" spans="5:8" ht="13.5" customHeight="1" ns3:dyDescent="0.3">
      <c r="E822" s="1"/>
      <c r="F822" s="1"/>
      <c r="G822" s="28"/>
      <c r="H822" s="1"/>
    </row>
    <row r="823" spans="5:8" ht="13.5" customHeight="1" ns3:dyDescent="0.3">
      <c r="E823" s="1"/>
      <c r="F823" s="1"/>
      <c r="G823" s="28"/>
      <c r="H823" s="1"/>
    </row>
    <row r="824" spans="5:8" ht="13.5" customHeight="1" ns3:dyDescent="0.3">
      <c r="E824" s="1"/>
      <c r="F824" s="1"/>
      <c r="G824" s="28"/>
      <c r="H824" s="1"/>
    </row>
    <row r="825" spans="5:8" ht="13.5" customHeight="1" ns3:dyDescent="0.3">
      <c r="E825" s="1"/>
      <c r="F825" s="1"/>
      <c r="G825" s="28"/>
      <c r="H825" s="1"/>
    </row>
    <row r="826" spans="5:8" ht="13.5" customHeight="1" ns3:dyDescent="0.3">
      <c r="E826" s="1"/>
      <c r="F826" s="1"/>
      <c r="G826" s="28"/>
      <c r="H826" s="1"/>
    </row>
    <row r="827" spans="5:8" ht="13.5" customHeight="1" ns3:dyDescent="0.3">
      <c r="E827" s="1"/>
      <c r="F827" s="1"/>
      <c r="G827" s="28"/>
      <c r="H827" s="1"/>
    </row>
    <row r="828" spans="5:8" ht="13.5" customHeight="1" ns3:dyDescent="0.3">
      <c r="E828" s="1"/>
      <c r="F828" s="1"/>
      <c r="G828" s="28"/>
      <c r="H828" s="1"/>
    </row>
    <row r="829" spans="5:8" ht="13.5" customHeight="1" ns3:dyDescent="0.3">
      <c r="E829" s="1"/>
      <c r="F829" s="1"/>
      <c r="G829" s="28"/>
      <c r="H829" s="1"/>
    </row>
    <row r="830" spans="5:8" ht="13.5" customHeight="1" ns3:dyDescent="0.3">
      <c r="E830" s="1"/>
      <c r="F830" s="1"/>
      <c r="G830" s="28"/>
      <c r="H830" s="1"/>
    </row>
    <row r="831" spans="5:8" ht="13.5" customHeight="1" ns3:dyDescent="0.3">
      <c r="E831" s="1"/>
      <c r="F831" s="1"/>
      <c r="G831" s="28"/>
      <c r="H831" s="1"/>
    </row>
    <row r="832" spans="5:8" ht="13.5" customHeight="1" ns3:dyDescent="0.3">
      <c r="E832" s="1"/>
      <c r="F832" s="1"/>
      <c r="G832" s="28"/>
      <c r="H832" s="1"/>
    </row>
    <row r="833" spans="5:8" ht="13.5" customHeight="1" ns3:dyDescent="0.3">
      <c r="E833" s="1"/>
      <c r="F833" s="1"/>
      <c r="G833" s="28"/>
      <c r="H833" s="1"/>
    </row>
    <row r="834" spans="5:8" ht="13.5" customHeight="1" ns3:dyDescent="0.3">
      <c r="E834" s="1"/>
      <c r="F834" s="1"/>
      <c r="G834" s="28"/>
      <c r="H834" s="1"/>
    </row>
    <row r="835" spans="5:8" ht="13.5" customHeight="1" ns3:dyDescent="0.3">
      <c r="E835" s="1"/>
      <c r="F835" s="1"/>
      <c r="G835" s="28"/>
      <c r="H835" s="1"/>
    </row>
    <row r="836" spans="5:8" ht="13.5" customHeight="1" ns3:dyDescent="0.3">
      <c r="E836" s="1"/>
      <c r="F836" s="1"/>
      <c r="G836" s="28"/>
      <c r="H836" s="1"/>
    </row>
    <row r="837" spans="5:8" ht="13.5" customHeight="1" ns3:dyDescent="0.3">
      <c r="E837" s="1"/>
      <c r="F837" s="1"/>
      <c r="G837" s="28"/>
      <c r="H837" s="1"/>
    </row>
    <row r="838" spans="5:8" ht="13.5" customHeight="1" ns3:dyDescent="0.3">
      <c r="E838" s="1"/>
      <c r="F838" s="1"/>
      <c r="G838" s="28"/>
      <c r="H838" s="1"/>
    </row>
    <row r="839" spans="5:8" ht="13.5" customHeight="1" ns3:dyDescent="0.3">
      <c r="E839" s="1"/>
      <c r="F839" s="1"/>
      <c r="G839" s="28"/>
      <c r="H839" s="1"/>
    </row>
    <row r="840" spans="5:8" ht="13.5" customHeight="1" ns3:dyDescent="0.3">
      <c r="E840" s="1"/>
      <c r="F840" s="1"/>
      <c r="G840" s="28"/>
      <c r="H840" s="1"/>
    </row>
    <row r="841" spans="5:8" ht="13.5" customHeight="1" ns3:dyDescent="0.3">
      <c r="E841" s="1"/>
      <c r="F841" s="1"/>
      <c r="G841" s="28"/>
      <c r="H841" s="1"/>
    </row>
    <row r="842" spans="5:8" ht="13.5" customHeight="1" ns3:dyDescent="0.3">
      <c r="E842" s="1"/>
      <c r="F842" s="1"/>
      <c r="G842" s="28"/>
      <c r="H842" s="1"/>
    </row>
    <row r="843" spans="5:8" ht="13.5" customHeight="1" ns3:dyDescent="0.3">
      <c r="E843" s="1"/>
      <c r="F843" s="1"/>
      <c r="G843" s="28"/>
      <c r="H843" s="1"/>
    </row>
    <row r="844" spans="5:8" ht="13.5" customHeight="1" ns3:dyDescent="0.3">
      <c r="E844" s="1"/>
      <c r="F844" s="1"/>
      <c r="G844" s="28"/>
      <c r="H844" s="1"/>
    </row>
    <row r="845" spans="5:8" ht="13.5" customHeight="1" ns3:dyDescent="0.3">
      <c r="E845" s="1"/>
      <c r="F845" s="1"/>
      <c r="G845" s="28"/>
      <c r="H845" s="1"/>
    </row>
    <row r="846" spans="5:8" ht="13.5" customHeight="1" ns3:dyDescent="0.3">
      <c r="E846" s="1"/>
      <c r="F846" s="1"/>
      <c r="G846" s="28"/>
      <c r="H846" s="1"/>
    </row>
    <row r="847" spans="5:8" ht="13.5" customHeight="1" ns3:dyDescent="0.3">
      <c r="E847" s="1"/>
      <c r="F847" s="1"/>
      <c r="G847" s="28"/>
      <c r="H847" s="1"/>
    </row>
    <row r="848" spans="5:8" ht="13.5" customHeight="1" ns3:dyDescent="0.3">
      <c r="E848" s="1"/>
      <c r="F848" s="1"/>
      <c r="G848" s="28"/>
      <c r="H848" s="1"/>
    </row>
    <row r="849" spans="5:8" ht="13.5" customHeight="1" ns3:dyDescent="0.3">
      <c r="E849" s="1"/>
      <c r="F849" s="1"/>
      <c r="G849" s="28"/>
      <c r="H849" s="1"/>
    </row>
    <row r="850" spans="5:8" ht="13.5" customHeight="1" ns3:dyDescent="0.3">
      <c r="E850" s="1"/>
      <c r="F850" s="1"/>
      <c r="G850" s="28"/>
      <c r="H850" s="1"/>
    </row>
    <row r="851" spans="5:8" ht="13.5" customHeight="1" ns3:dyDescent="0.3">
      <c r="E851" s="1"/>
      <c r="F851" s="1"/>
      <c r="G851" s="28"/>
      <c r="H851" s="1"/>
    </row>
    <row r="852" spans="5:8" ht="13.5" customHeight="1" ns3:dyDescent="0.3">
      <c r="E852" s="1"/>
      <c r="F852" s="1"/>
      <c r="G852" s="28"/>
      <c r="H852" s="1"/>
    </row>
    <row r="853" spans="5:8" ht="13.5" customHeight="1" ns3:dyDescent="0.3">
      <c r="E853" s="1"/>
      <c r="F853" s="1"/>
      <c r="G853" s="28"/>
      <c r="H853" s="1"/>
    </row>
    <row r="854" spans="5:8" ht="13.5" customHeight="1" ns3:dyDescent="0.3">
      <c r="E854" s="1"/>
      <c r="F854" s="1"/>
      <c r="G854" s="28"/>
      <c r="H854" s="1"/>
    </row>
    <row r="855" spans="5:8" ht="13.5" customHeight="1" ns3:dyDescent="0.3">
      <c r="E855" s="1"/>
      <c r="F855" s="1"/>
      <c r="G855" s="28"/>
      <c r="H855" s="1"/>
    </row>
    <row r="856" spans="5:8" ht="13.5" customHeight="1" ns3:dyDescent="0.3">
      <c r="E856" s="1"/>
      <c r="F856" s="1"/>
      <c r="G856" s="28"/>
      <c r="H856" s="1"/>
    </row>
    <row r="857" spans="5:8" ht="13.5" customHeight="1" ns3:dyDescent="0.3">
      <c r="E857" s="1"/>
      <c r="F857" s="1"/>
      <c r="G857" s="28"/>
      <c r="H857" s="1"/>
    </row>
    <row r="858" spans="5:8" ht="13.5" customHeight="1" ns3:dyDescent="0.3">
      <c r="E858" s="1"/>
      <c r="F858" s="1"/>
      <c r="G858" s="28"/>
      <c r="H858" s="1"/>
    </row>
    <row r="859" spans="5:8" ht="13.5" customHeight="1" ns3:dyDescent="0.3">
      <c r="E859" s="1"/>
      <c r="F859" s="1"/>
      <c r="G859" s="28"/>
      <c r="H859" s="1"/>
    </row>
    <row r="860" spans="5:8" ht="13.5" customHeight="1" ns3:dyDescent="0.3">
      <c r="E860" s="1"/>
      <c r="F860" s="1"/>
      <c r="G860" s="28"/>
      <c r="H860" s="1"/>
    </row>
    <row r="861" spans="5:8" ht="13.5" customHeight="1" ns3:dyDescent="0.3">
      <c r="E861" s="1"/>
      <c r="F861" s="1"/>
      <c r="G861" s="28"/>
      <c r="H861" s="1"/>
    </row>
    <row r="862" spans="5:8" ht="13.5" customHeight="1" ns3:dyDescent="0.3">
      <c r="E862" s="1"/>
      <c r="F862" s="1"/>
      <c r="G862" s="28"/>
      <c r="H862" s="1"/>
    </row>
    <row r="863" spans="5:8" ht="13.5" customHeight="1" ns3:dyDescent="0.3">
      <c r="E863" s="1"/>
      <c r="F863" s="1"/>
      <c r="G863" s="28"/>
      <c r="H863" s="1"/>
    </row>
    <row r="864" spans="5:8" ht="13.5" customHeight="1" ns3:dyDescent="0.3">
      <c r="E864" s="1"/>
      <c r="F864" s="1"/>
      <c r="G864" s="28"/>
      <c r="H864" s="1"/>
    </row>
    <row r="865" spans="5:8" ht="13.5" customHeight="1" ns3:dyDescent="0.3">
      <c r="E865" s="1"/>
      <c r="F865" s="1"/>
      <c r="G865" s="28"/>
      <c r="H865" s="1"/>
    </row>
    <row r="866" spans="5:8" ht="13.5" customHeight="1" ns3:dyDescent="0.3">
      <c r="E866" s="1"/>
      <c r="F866" s="1"/>
      <c r="G866" s="28"/>
      <c r="H866" s="1"/>
    </row>
    <row r="867" spans="5:8" ht="13.5" customHeight="1" ns3:dyDescent="0.3">
      <c r="E867" s="1"/>
      <c r="F867" s="1"/>
      <c r="G867" s="28"/>
      <c r="H867" s="1"/>
    </row>
    <row r="868" spans="5:8" ht="13.5" customHeight="1" ns3:dyDescent="0.3">
      <c r="E868" s="1"/>
      <c r="F868" s="1"/>
      <c r="G868" s="28"/>
      <c r="H868" s="1"/>
    </row>
    <row r="869" spans="5:8" ht="13.5" customHeight="1" ns3:dyDescent="0.3">
      <c r="E869" s="1"/>
      <c r="F869" s="1"/>
      <c r="G869" s="28"/>
      <c r="H869" s="1"/>
    </row>
    <row r="870" spans="5:8" ht="13.5" customHeight="1" ns3:dyDescent="0.3">
      <c r="E870" s="1"/>
      <c r="F870" s="1"/>
      <c r="G870" s="28"/>
      <c r="H870" s="1"/>
    </row>
    <row r="871" spans="5:8" ht="13.5" customHeight="1" ns3:dyDescent="0.3">
      <c r="E871" s="1"/>
      <c r="F871" s="1"/>
      <c r="G871" s="28"/>
      <c r="H871" s="1"/>
    </row>
    <row r="872" spans="5:8" ht="13.5" customHeight="1" ns3:dyDescent="0.3">
      <c r="E872" s="1"/>
      <c r="F872" s="1"/>
      <c r="G872" s="28"/>
      <c r="H872" s="1"/>
    </row>
    <row r="873" spans="5:8" ht="13.5" customHeight="1" ns3:dyDescent="0.3">
      <c r="E873" s="1"/>
      <c r="F873" s="1"/>
      <c r="G873" s="28"/>
      <c r="H873" s="1"/>
    </row>
    <row r="874" spans="5:8" ht="13.5" customHeight="1" ns3:dyDescent="0.3">
      <c r="E874" s="1"/>
      <c r="F874" s="1"/>
      <c r="G874" s="28"/>
      <c r="H874" s="1"/>
    </row>
    <row r="875" spans="5:8" ht="13.5" customHeight="1" ns3:dyDescent="0.3">
      <c r="E875" s="1"/>
      <c r="F875" s="1"/>
      <c r="G875" s="28"/>
      <c r="H875" s="1"/>
    </row>
    <row r="876" spans="5:8" ht="13.5" customHeight="1" ns3:dyDescent="0.3">
      <c r="E876" s="1"/>
      <c r="F876" s="1"/>
      <c r="G876" s="28"/>
      <c r="H876" s="1"/>
    </row>
    <row r="877" spans="5:8" ht="13.5" customHeight="1" ns3:dyDescent="0.3">
      <c r="E877" s="1"/>
      <c r="F877" s="1"/>
      <c r="G877" s="28"/>
      <c r="H877" s="1"/>
    </row>
    <row r="878" spans="5:8" ht="13.5" customHeight="1" ns3:dyDescent="0.3">
      <c r="E878" s="1"/>
      <c r="F878" s="1"/>
      <c r="G878" s="28"/>
      <c r="H878" s="1"/>
    </row>
    <row r="879" spans="5:8" ht="13.5" customHeight="1" ns3:dyDescent="0.3">
      <c r="E879" s="1"/>
      <c r="F879" s="1"/>
      <c r="G879" s="28"/>
      <c r="H879" s="1"/>
    </row>
    <row r="880" spans="5:8" ht="13.5" customHeight="1" ns3:dyDescent="0.3">
      <c r="E880" s="1"/>
      <c r="F880" s="1"/>
      <c r="G880" s="28"/>
      <c r="H880" s="1"/>
    </row>
    <row r="881" spans="5:8" ht="13.5" customHeight="1" ns3:dyDescent="0.3">
      <c r="E881" s="1"/>
      <c r="F881" s="1"/>
      <c r="G881" s="28"/>
      <c r="H881" s="1"/>
    </row>
    <row r="882" spans="5:8" ht="13.5" customHeight="1" ns3:dyDescent="0.3">
      <c r="E882" s="1"/>
      <c r="F882" s="1"/>
      <c r="G882" s="28"/>
      <c r="H882" s="1"/>
    </row>
    <row r="883" spans="5:8" ht="13.5" customHeight="1" ns3:dyDescent="0.3">
      <c r="E883" s="1"/>
      <c r="F883" s="1"/>
      <c r="G883" s="28"/>
      <c r="H883" s="1"/>
    </row>
    <row r="884" spans="5:8" ht="13.5" customHeight="1" ns3:dyDescent="0.3">
      <c r="E884" s="1"/>
      <c r="F884" s="1"/>
      <c r="G884" s="28"/>
      <c r="H884" s="1"/>
    </row>
    <row r="885" spans="5:8" ht="13.5" customHeight="1" ns3:dyDescent="0.3">
      <c r="E885" s="1"/>
      <c r="F885" s="1"/>
      <c r="G885" s="28"/>
      <c r="H885" s="1"/>
    </row>
    <row r="886" spans="5:8" ht="13.5" customHeight="1" ns3:dyDescent="0.3">
      <c r="E886" s="1"/>
      <c r="F886" s="1"/>
      <c r="G886" s="28"/>
      <c r="H886" s="1"/>
    </row>
    <row r="887" spans="5:8" ht="13.5" customHeight="1" ns3:dyDescent="0.3">
      <c r="E887" s="1"/>
      <c r="F887" s="1"/>
      <c r="G887" s="28"/>
      <c r="H887" s="1"/>
    </row>
    <row r="888" spans="5:8" ht="13.5" customHeight="1" ns3:dyDescent="0.3">
      <c r="E888" s="1"/>
      <c r="F888" s="1"/>
      <c r="G888" s="28"/>
      <c r="H888" s="1"/>
    </row>
    <row r="889" spans="5:8" ht="13.5" customHeight="1" ns3:dyDescent="0.3">
      <c r="E889" s="1"/>
      <c r="F889" s="1"/>
      <c r="G889" s="28"/>
      <c r="H889" s="1"/>
    </row>
    <row r="890" spans="5:8" ht="13.5" customHeight="1" ns3:dyDescent="0.3">
      <c r="E890" s="1"/>
      <c r="F890" s="1"/>
      <c r="G890" s="28"/>
      <c r="H890" s="1"/>
    </row>
    <row r="891" spans="5:8" ht="13.5" customHeight="1" ns3:dyDescent="0.3">
      <c r="E891" s="1"/>
      <c r="F891" s="1"/>
      <c r="G891" s="28"/>
      <c r="H891" s="1"/>
    </row>
    <row r="892" spans="5:8" ht="13.5" customHeight="1" ns3:dyDescent="0.3">
      <c r="E892" s="1"/>
      <c r="F892" s="1"/>
      <c r="G892" s="28"/>
      <c r="H892" s="1"/>
    </row>
    <row r="893" spans="5:8" ht="13.5" customHeight="1" ns3:dyDescent="0.3">
      <c r="E893" s="1"/>
      <c r="F893" s="1"/>
      <c r="G893" s="28"/>
      <c r="H893" s="1"/>
    </row>
    <row r="894" spans="5:8" ht="13.5" customHeight="1" ns3:dyDescent="0.3">
      <c r="E894" s="1"/>
      <c r="F894" s="1"/>
      <c r="G894" s="28"/>
      <c r="H894" s="1"/>
    </row>
    <row r="895" spans="5:8" ht="13.5" customHeight="1" ns3:dyDescent="0.3">
      <c r="E895" s="1"/>
      <c r="F895" s="1"/>
      <c r="G895" s="28"/>
      <c r="H895" s="1"/>
    </row>
    <row r="896" spans="5:8" ht="13.5" customHeight="1" ns3:dyDescent="0.3">
      <c r="E896" s="1"/>
      <c r="F896" s="1"/>
      <c r="G896" s="28"/>
      <c r="H896" s="1"/>
    </row>
    <row r="897" spans="5:8" ht="13.5" customHeight="1" ns3:dyDescent="0.3">
      <c r="E897" s="1"/>
      <c r="F897" s="1"/>
      <c r="G897" s="28"/>
      <c r="H897" s="1"/>
    </row>
    <row r="898" spans="5:8" ht="13.5" customHeight="1" ns3:dyDescent="0.3">
      <c r="E898" s="1"/>
      <c r="F898" s="1"/>
      <c r="G898" s="28"/>
      <c r="H898" s="1"/>
    </row>
    <row r="899" spans="5:8" ht="13.5" customHeight="1" ns3:dyDescent="0.3">
      <c r="E899" s="1"/>
      <c r="F899" s="1"/>
      <c r="G899" s="28"/>
      <c r="H899" s="1"/>
    </row>
    <row r="900" spans="5:8" ht="13.5" customHeight="1" ns3:dyDescent="0.3">
      <c r="E900" s="1"/>
      <c r="F900" s="1"/>
      <c r="G900" s="28"/>
      <c r="H900" s="1"/>
    </row>
    <row r="901" spans="5:8" ht="13.5" customHeight="1" ns3:dyDescent="0.3">
      <c r="E901" s="1"/>
      <c r="F901" s="1"/>
      <c r="G901" s="28"/>
      <c r="H901" s="1"/>
    </row>
    <row r="902" spans="5:8" ht="13.5" customHeight="1" ns3:dyDescent="0.3">
      <c r="E902" s="1"/>
      <c r="F902" s="1"/>
      <c r="G902" s="28"/>
      <c r="H902" s="1"/>
    </row>
    <row r="903" spans="5:8" ht="13.5" customHeight="1" ns3:dyDescent="0.3">
      <c r="E903" s="1"/>
      <c r="F903" s="1"/>
      <c r="G903" s="28"/>
      <c r="H903" s="1"/>
    </row>
    <row r="904" spans="5:8" ht="13.5" customHeight="1" ns3:dyDescent="0.3">
      <c r="E904" s="1"/>
      <c r="F904" s="1"/>
      <c r="G904" s="28"/>
      <c r="H904" s="1"/>
    </row>
    <row r="905" spans="5:8" ht="13.5" customHeight="1" ns3:dyDescent="0.3">
      <c r="E905" s="1"/>
      <c r="F905" s="1"/>
      <c r="G905" s="28"/>
      <c r="H905" s="1"/>
    </row>
    <row r="906" spans="5:8" ht="13.5" customHeight="1" ns3:dyDescent="0.3">
      <c r="E906" s="1"/>
      <c r="F906" s="1"/>
      <c r="G906" s="28"/>
      <c r="H906" s="1"/>
    </row>
    <row r="907" spans="5:8" ht="13.5" customHeight="1" ns3:dyDescent="0.3">
      <c r="E907" s="1"/>
      <c r="F907" s="1"/>
      <c r="G907" s="28"/>
      <c r="H907" s="1"/>
    </row>
    <row r="908" spans="5:8" ht="13.5" customHeight="1" ns3:dyDescent="0.3">
      <c r="E908" s="1"/>
      <c r="F908" s="1"/>
      <c r="G908" s="28"/>
      <c r="H908" s="1"/>
    </row>
    <row r="909" spans="5:8" ht="13.5" customHeight="1" ns3:dyDescent="0.3">
      <c r="E909" s="1"/>
      <c r="F909" s="1"/>
      <c r="G909" s="28"/>
      <c r="H909" s="1"/>
    </row>
    <row r="910" spans="5:8" ht="13.5" customHeight="1" ns3:dyDescent="0.3">
      <c r="E910" s="1"/>
      <c r="F910" s="1"/>
      <c r="G910" s="28"/>
      <c r="H910" s="1"/>
    </row>
    <row r="911" spans="5:8" ht="13.5" customHeight="1" ns3:dyDescent="0.3">
      <c r="E911" s="1"/>
      <c r="F911" s="1"/>
      <c r="G911" s="28"/>
      <c r="H911" s="1"/>
    </row>
    <row r="912" spans="5:8" ht="13.5" customHeight="1" ns3:dyDescent="0.3">
      <c r="E912" s="1"/>
      <c r="F912" s="1"/>
      <c r="G912" s="28"/>
      <c r="H912" s="1"/>
    </row>
    <row r="913" spans="5:8" ht="13.5" customHeight="1" ns3:dyDescent="0.3">
      <c r="E913" s="1"/>
      <c r="F913" s="1"/>
      <c r="G913" s="28"/>
      <c r="H913" s="1"/>
    </row>
    <row r="914" spans="5:8" ht="13.5" customHeight="1" ns3:dyDescent="0.3">
      <c r="E914" s="1"/>
      <c r="F914" s="1"/>
      <c r="G914" s="28"/>
      <c r="H914" s="1"/>
    </row>
    <row r="915" spans="5:8" ht="13.5" customHeight="1" ns3:dyDescent="0.3">
      <c r="E915" s="1"/>
      <c r="F915" s="1"/>
      <c r="G915" s="28"/>
      <c r="H915" s="1"/>
    </row>
    <row r="916" spans="5:8" ht="13.5" customHeight="1" ns3:dyDescent="0.3">
      <c r="E916" s="1"/>
      <c r="F916" s="1"/>
      <c r="G916" s="28"/>
      <c r="H916" s="1"/>
    </row>
    <row r="917" spans="5:8" ht="13.5" customHeight="1" ns3:dyDescent="0.3">
      <c r="E917" s="1"/>
      <c r="F917" s="1"/>
      <c r="G917" s="28"/>
      <c r="H917" s="1"/>
    </row>
    <row r="918" spans="5:8" ht="13.5" customHeight="1" ns3:dyDescent="0.3">
      <c r="E918" s="1"/>
      <c r="F918" s="1"/>
      <c r="G918" s="28"/>
      <c r="H918" s="1"/>
    </row>
    <row r="919" spans="5:8" ht="13.5" customHeight="1" ns3:dyDescent="0.3">
      <c r="E919" s="1"/>
      <c r="F919" s="1"/>
      <c r="G919" s="28"/>
      <c r="H919" s="1"/>
    </row>
    <row r="920" spans="5:8" ht="13.5" customHeight="1" ns3:dyDescent="0.3">
      <c r="E920" s="1"/>
      <c r="F920" s="1"/>
      <c r="G920" s="28"/>
      <c r="H920" s="1"/>
    </row>
    <row r="921" spans="5:8" ht="13.5" customHeight="1" ns3:dyDescent="0.3">
      <c r="E921" s="1"/>
      <c r="F921" s="1"/>
      <c r="G921" s="28"/>
      <c r="H921" s="1"/>
    </row>
    <row r="922" spans="5:8" ht="13.5" customHeight="1" ns3:dyDescent="0.3">
      <c r="E922" s="1"/>
      <c r="F922" s="1"/>
      <c r="G922" s="28"/>
      <c r="H922" s="1"/>
    </row>
    <row r="923" spans="5:8" ht="13.5" customHeight="1" ns3:dyDescent="0.3">
      <c r="E923" s="1"/>
      <c r="F923" s="1"/>
      <c r="G923" s="28"/>
      <c r="H923" s="1"/>
    </row>
    <row r="924" spans="5:8" ht="13.5" customHeight="1" ns3:dyDescent="0.3">
      <c r="E924" s="1"/>
      <c r="F924" s="1"/>
      <c r="G924" s="28"/>
      <c r="H924" s="1"/>
    </row>
    <row r="925" spans="5:8" ht="13.5" customHeight="1" ns3:dyDescent="0.3">
      <c r="E925" s="1"/>
      <c r="F925" s="1"/>
      <c r="G925" s="28"/>
      <c r="H925" s="1"/>
    </row>
    <row r="926" spans="5:8" ht="13.5" customHeight="1" ns3:dyDescent="0.3">
      <c r="E926" s="1"/>
      <c r="F926" s="1"/>
      <c r="G926" s="28"/>
      <c r="H926" s="1"/>
    </row>
    <row r="927" spans="5:8" ht="13.5" customHeight="1" ns3:dyDescent="0.3">
      <c r="E927" s="1"/>
      <c r="F927" s="1"/>
      <c r="G927" s="28"/>
      <c r="H927" s="1"/>
    </row>
    <row r="928" spans="5:8" ht="13.5" customHeight="1" ns3:dyDescent="0.3">
      <c r="E928" s="1"/>
      <c r="F928" s="1"/>
      <c r="G928" s="28"/>
      <c r="H928" s="1"/>
    </row>
    <row r="929" spans="5:8" ht="13.5" customHeight="1" ns3:dyDescent="0.3">
      <c r="E929" s="1"/>
      <c r="F929" s="1"/>
      <c r="G929" s="28"/>
      <c r="H929" s="1"/>
    </row>
    <row r="930" spans="5:8" ht="13.5" customHeight="1" ns3:dyDescent="0.3">
      <c r="E930" s="1"/>
      <c r="F930" s="1"/>
      <c r="G930" s="28"/>
      <c r="H930" s="1"/>
    </row>
    <row r="931" spans="5:8" ht="13.5" customHeight="1" ns3:dyDescent="0.3">
      <c r="E931" s="1"/>
      <c r="F931" s="1"/>
      <c r="G931" s="28"/>
      <c r="H931" s="1"/>
    </row>
    <row r="932" spans="5:8" ht="13.5" customHeight="1" ns3:dyDescent="0.3">
      <c r="E932" s="1"/>
      <c r="F932" s="1"/>
      <c r="G932" s="28"/>
      <c r="H932" s="1"/>
    </row>
    <row r="933" spans="5:8" ht="13.5" customHeight="1" ns3:dyDescent="0.3">
      <c r="E933" s="1"/>
      <c r="F933" s="1"/>
      <c r="G933" s="28"/>
      <c r="H933" s="1"/>
    </row>
    <row r="934" spans="5:8" ht="13.5" customHeight="1" ns3:dyDescent="0.3">
      <c r="E934" s="1"/>
      <c r="F934" s="1"/>
      <c r="G934" s="28"/>
      <c r="H934" s="1"/>
    </row>
    <row r="935" spans="5:8" ht="13.5" customHeight="1" ns3:dyDescent="0.3">
      <c r="E935" s="1"/>
      <c r="F935" s="1"/>
      <c r="G935" s="28"/>
      <c r="H935" s="1"/>
    </row>
    <row r="936" spans="5:8" ht="13.5" customHeight="1" ns3:dyDescent="0.3">
      <c r="E936" s="1"/>
      <c r="F936" s="1"/>
      <c r="G936" s="28"/>
      <c r="H936" s="1"/>
    </row>
    <row r="937" spans="5:8" ht="13.5" customHeight="1" ns3:dyDescent="0.3">
      <c r="E937" s="1"/>
      <c r="F937" s="1"/>
      <c r="G937" s="28"/>
      <c r="H937" s="1"/>
    </row>
    <row r="938" spans="5:8" ht="13.5" customHeight="1" ns3:dyDescent="0.3">
      <c r="E938" s="1"/>
      <c r="F938" s="1"/>
      <c r="G938" s="28"/>
      <c r="H938" s="1"/>
    </row>
    <row r="939" spans="5:8" ht="13.5" customHeight="1" ns3:dyDescent="0.3">
      <c r="E939" s="1"/>
      <c r="F939" s="1"/>
      <c r="G939" s="28"/>
      <c r="H939" s="1"/>
    </row>
    <row r="940" spans="5:8" ht="13.5" customHeight="1" ns3:dyDescent="0.3">
      <c r="E940" s="1"/>
      <c r="F940" s="1"/>
      <c r="G940" s="28"/>
      <c r="H940" s="1"/>
    </row>
    <row r="941" spans="5:8" ht="13.5" customHeight="1" ns3:dyDescent="0.3">
      <c r="E941" s="1"/>
      <c r="F941" s="1"/>
      <c r="G941" s="28"/>
      <c r="H941" s="1"/>
    </row>
    <row r="942" spans="5:8" ht="13.5" customHeight="1" ns3:dyDescent="0.3">
      <c r="E942" s="1"/>
      <c r="F942" s="1"/>
      <c r="G942" s="28"/>
      <c r="H942" s="1"/>
    </row>
    <row r="943" spans="5:8" ht="13.5" customHeight="1" ns3:dyDescent="0.3">
      <c r="E943" s="1"/>
      <c r="F943" s="1"/>
      <c r="G943" s="28"/>
      <c r="H943" s="1"/>
    </row>
    <row r="944" spans="5:8" ht="13.5" customHeight="1" ns3:dyDescent="0.3">
      <c r="E944" s="1"/>
      <c r="F944" s="1"/>
      <c r="G944" s="28"/>
      <c r="H944" s="1"/>
    </row>
    <row r="945" spans="5:8" ht="13.5" customHeight="1" ns3:dyDescent="0.3">
      <c r="E945" s="1"/>
      <c r="F945" s="1"/>
      <c r="G945" s="28"/>
      <c r="H945" s="1"/>
    </row>
    <row r="946" spans="5:8" ht="13.5" customHeight="1" ns3:dyDescent="0.3">
      <c r="E946" s="1"/>
      <c r="F946" s="1"/>
      <c r="G946" s="28"/>
      <c r="H946" s="1"/>
    </row>
    <row r="947" spans="5:8" ht="13.5" customHeight="1" ns3:dyDescent="0.3">
      <c r="E947" s="1"/>
      <c r="F947" s="1"/>
      <c r="G947" s="28"/>
      <c r="H947" s="1"/>
    </row>
    <row r="948" spans="5:8" ht="13.5" customHeight="1" ns3:dyDescent="0.3">
      <c r="E948" s="1"/>
      <c r="F948" s="1"/>
      <c r="G948" s="28"/>
      <c r="H948" s="1"/>
    </row>
    <row r="949" spans="5:8" ht="13.5" customHeight="1" ns3:dyDescent="0.3">
      <c r="E949" s="1"/>
      <c r="F949" s="1"/>
      <c r="G949" s="28"/>
      <c r="H949" s="1"/>
    </row>
    <row r="950" spans="5:8" ht="13.5" customHeight="1" ns3:dyDescent="0.3">
      <c r="E950" s="1"/>
      <c r="F950" s="1"/>
      <c r="G950" s="28"/>
      <c r="H950" s="1"/>
    </row>
    <row r="951" spans="5:8" ht="13.5" customHeight="1" ns3:dyDescent="0.3">
      <c r="E951" s="1"/>
      <c r="F951" s="1"/>
      <c r="G951" s="28"/>
      <c r="H951" s="1"/>
    </row>
    <row r="952" spans="5:8" ht="13.5" customHeight="1" ns3:dyDescent="0.3">
      <c r="E952" s="1"/>
      <c r="F952" s="1"/>
      <c r="G952" s="28"/>
      <c r="H952" s="1"/>
    </row>
    <row r="953" spans="5:8" ht="13.5" customHeight="1" ns3:dyDescent="0.3">
      <c r="E953" s="1"/>
      <c r="F953" s="1"/>
      <c r="G953" s="28"/>
      <c r="H953" s="1"/>
    </row>
    <row r="954" spans="5:8" ht="13.5" customHeight="1" ns3:dyDescent="0.3">
      <c r="E954" s="1"/>
      <c r="F954" s="1"/>
      <c r="G954" s="28"/>
      <c r="H954" s="1"/>
    </row>
    <row r="955" spans="5:8" ht="13.5" customHeight="1" ns3:dyDescent="0.3">
      <c r="E955" s="1"/>
      <c r="F955" s="1"/>
      <c r="G955" s="28"/>
      <c r="H955" s="1"/>
    </row>
    <row r="956" spans="5:8" ht="13.5" customHeight="1" ns3:dyDescent="0.3">
      <c r="E956" s="1"/>
      <c r="F956" s="1"/>
      <c r="G956" s="28"/>
      <c r="H956" s="1"/>
    </row>
    <row r="957" spans="5:8" ht="13.5" customHeight="1" ns3:dyDescent="0.3">
      <c r="E957" s="1"/>
      <c r="F957" s="1"/>
      <c r="G957" s="28"/>
      <c r="H957" s="1"/>
    </row>
    <row r="958" spans="5:8" ht="13.5" customHeight="1" ns3:dyDescent="0.3">
      <c r="E958" s="1"/>
      <c r="F958" s="1"/>
      <c r="G958" s="28"/>
      <c r="H958" s="1"/>
    </row>
    <row r="959" spans="5:8" ht="13.5" customHeight="1" ns3:dyDescent="0.3">
      <c r="E959" s="1"/>
      <c r="F959" s="1"/>
      <c r="G959" s="28"/>
      <c r="H959" s="1"/>
    </row>
    <row r="960" spans="5:8" ht="13.5" customHeight="1" ns3:dyDescent="0.3">
      <c r="E960" s="1"/>
      <c r="F960" s="1"/>
      <c r="G960" s="28"/>
      <c r="H960" s="1"/>
    </row>
    <row r="961" spans="5:8" ht="13.5" customHeight="1" ns3:dyDescent="0.3">
      <c r="E961" s="1"/>
      <c r="F961" s="1"/>
      <c r="G961" s="28"/>
      <c r="H961" s="1"/>
    </row>
    <row r="962" spans="5:8" ht="13.5" customHeight="1" ns3:dyDescent="0.3">
      <c r="E962" s="1"/>
      <c r="F962" s="1"/>
      <c r="G962" s="28"/>
      <c r="H962" s="1"/>
    </row>
    <row r="963" spans="5:8" ht="13.5" customHeight="1" ns3:dyDescent="0.3">
      <c r="E963" s="1"/>
      <c r="F963" s="1"/>
      <c r="G963" s="28"/>
      <c r="H963" s="1"/>
    </row>
    <row r="964" spans="5:8" ht="13.5" customHeight="1" ns3:dyDescent="0.3">
      <c r="E964" s="1"/>
      <c r="F964" s="1"/>
      <c r="G964" s="28"/>
      <c r="H964" s="1"/>
    </row>
    <row r="965" spans="5:8" ht="13.5" customHeight="1" ns3:dyDescent="0.3">
      <c r="E965" s="1"/>
      <c r="F965" s="1"/>
      <c r="G965" s="28"/>
      <c r="H965" s="1"/>
    </row>
    <row r="966" spans="5:8" ht="13.5" customHeight="1" ns3:dyDescent="0.3">
      <c r="E966" s="1"/>
      <c r="F966" s="1"/>
      <c r="G966" s="28"/>
      <c r="H966" s="1"/>
    </row>
    <row r="967" spans="5:8" ht="13.5" customHeight="1" ns3:dyDescent="0.3">
      <c r="E967" s="1"/>
      <c r="F967" s="1"/>
      <c r="G967" s="28"/>
      <c r="H967" s="1"/>
    </row>
    <row r="968" spans="5:8" ht="13.5" customHeight="1" ns3:dyDescent="0.3">
      <c r="E968" s="1"/>
      <c r="F968" s="1"/>
      <c r="G968" s="28"/>
      <c r="H968" s="1"/>
    </row>
    <row r="969" spans="5:8" ht="13.5" customHeight="1" ns3:dyDescent="0.3">
      <c r="E969" s="1"/>
      <c r="F969" s="1"/>
      <c r="G969" s="28"/>
      <c r="H969" s="1"/>
    </row>
    <row r="970" spans="5:8" ht="13.5" customHeight="1" ns3:dyDescent="0.3">
      <c r="E970" s="1"/>
      <c r="F970" s="1"/>
      <c r="G970" s="28"/>
      <c r="H970" s="1"/>
    </row>
    <row r="971" spans="5:8" ht="13.5" customHeight="1" ns3:dyDescent="0.3">
      <c r="E971" s="1"/>
      <c r="F971" s="1"/>
      <c r="G971" s="28"/>
      <c r="H971" s="1"/>
    </row>
    <row r="972" spans="5:8" ht="13.5" customHeight="1" ns3:dyDescent="0.3">
      <c r="E972" s="1"/>
      <c r="F972" s="1"/>
      <c r="G972" s="28"/>
      <c r="H972" s="1"/>
    </row>
    <row r="973" spans="5:8" ht="13.5" customHeight="1" ns3:dyDescent="0.3">
      <c r="E973" s="1"/>
      <c r="F973" s="1"/>
      <c r="G973" s="28"/>
      <c r="H973" s="1"/>
    </row>
    <row r="974" spans="5:8" ht="13.5" customHeight="1" ns3:dyDescent="0.3">
      <c r="E974" s="1"/>
      <c r="F974" s="1"/>
      <c r="G974" s="28"/>
      <c r="H974" s="1"/>
    </row>
    <row r="975" spans="5:8" ht="13.5" customHeight="1" ns3:dyDescent="0.3">
      <c r="E975" s="1"/>
      <c r="F975" s="1"/>
      <c r="G975" s="28"/>
      <c r="H975" s="1"/>
    </row>
    <row r="976" spans="5:8" ht="13.5" customHeight="1" ns3:dyDescent="0.3">
      <c r="E976" s="1"/>
      <c r="F976" s="1"/>
      <c r="G976" s="28"/>
      <c r="H976" s="1"/>
    </row>
    <row r="977" spans="5:8" ht="13.5" customHeight="1" ns3:dyDescent="0.3">
      <c r="E977" s="1"/>
      <c r="F977" s="1"/>
      <c r="G977" s="28"/>
      <c r="H977" s="1"/>
    </row>
    <row r="978" spans="5:8" ht="13.5" customHeight="1" ns3:dyDescent="0.3">
      <c r="E978" s="1"/>
      <c r="F978" s="1"/>
      <c r="G978" s="28"/>
      <c r="H978" s="1"/>
    </row>
    <row r="979" spans="5:8" ht="13.5" customHeight="1" ns3:dyDescent="0.3">
      <c r="E979" s="1"/>
      <c r="F979" s="1"/>
      <c r="G979" s="28"/>
      <c r="H979" s="1"/>
    </row>
    <row r="980" spans="5:8" ht="13.5" customHeight="1" ns3:dyDescent="0.3">
      <c r="E980" s="1"/>
      <c r="F980" s="1"/>
      <c r="G980" s="28"/>
      <c r="H980" s="1"/>
    </row>
    <row r="981" spans="5:8" ht="13.5" customHeight="1" ns3:dyDescent="0.3">
      <c r="E981" s="1"/>
      <c r="F981" s="1"/>
      <c r="G981" s="28"/>
      <c r="H981" s="1"/>
    </row>
    <row r="982" spans="5:8" ht="13.5" customHeight="1" ns3:dyDescent="0.3">
      <c r="E982" s="1"/>
      <c r="F982" s="1"/>
      <c r="G982" s="28"/>
      <c r="H982" s="1"/>
    </row>
    <row r="983" spans="5:8" ht="13.5" customHeight="1" ns3:dyDescent="0.3">
      <c r="E983" s="1"/>
      <c r="F983" s="1"/>
      <c r="G983" s="28"/>
      <c r="H983" s="1"/>
    </row>
    <row r="984" spans="5:8" ht="13.5" customHeight="1" ns3:dyDescent="0.3">
      <c r="E984" s="1"/>
      <c r="F984" s="1"/>
      <c r="G984" s="28"/>
      <c r="H984" s="1"/>
    </row>
    <row r="985" spans="5:8" ht="13.5" customHeight="1" ns3:dyDescent="0.3">
      <c r="E985" s="1"/>
      <c r="F985" s="1"/>
      <c r="G985" s="28"/>
      <c r="H985" s="1"/>
    </row>
    <row r="986" spans="5:8" ht="13.5" customHeight="1" ns3:dyDescent="0.3">
      <c r="E986" s="1"/>
      <c r="F986" s="1"/>
      <c r="G986" s="28"/>
      <c r="H986" s="1"/>
    </row>
    <row r="987" spans="5:8" ht="13.5" customHeight="1" ns3:dyDescent="0.3">
      <c r="E987" s="1"/>
      <c r="F987" s="1"/>
      <c r="G987" s="28"/>
      <c r="H987" s="1"/>
    </row>
    <row r="988" spans="5:8" ht="13.5" customHeight="1" ns3:dyDescent="0.3">
      <c r="E988" s="1"/>
      <c r="F988" s="1"/>
      <c r="G988" s="28"/>
      <c r="H988" s="1"/>
    </row>
    <row r="989" spans="5:8" ht="13.5" customHeight="1" ns3:dyDescent="0.3">
      <c r="E989" s="1"/>
      <c r="F989" s="1"/>
      <c r="G989" s="28"/>
      <c r="H989" s="1"/>
    </row>
    <row r="990" spans="5:8" ht="13.5" customHeight="1" ns3:dyDescent="0.3">
      <c r="E990" s="1"/>
      <c r="F990" s="1"/>
      <c r="G990" s="28"/>
      <c r="H990" s="1"/>
    </row>
    <row r="991" spans="5:8" ht="13.5" customHeight="1" ns3:dyDescent="0.3">
      <c r="E991" s="1"/>
      <c r="F991" s="1"/>
      <c r="G991" s="28"/>
      <c r="H991" s="1"/>
    </row>
    <row r="992" spans="5:8" ht="13.5" customHeight="1" ns3:dyDescent="0.3">
      <c r="E992" s="1"/>
      <c r="F992" s="1"/>
      <c r="G992" s="28"/>
      <c r="H992" s="1"/>
    </row>
    <row r="993" spans="5:8" ht="13.5" customHeight="1" ns3:dyDescent="0.3">
      <c r="E993" s="1"/>
      <c r="F993" s="1"/>
      <c r="G993" s="28"/>
      <c r="H993" s="1"/>
    </row>
    <row r="994" spans="5:8" ht="13.5" customHeight="1" ns3:dyDescent="0.3">
      <c r="E994" s="1"/>
      <c r="F994" s="1"/>
      <c r="G994" s="28"/>
      <c r="H994" s="1"/>
    </row>
    <row r="995" spans="5:8" ht="13.5" customHeight="1" ns3:dyDescent="0.3">
      <c r="E995" s="1"/>
      <c r="F995" s="1"/>
      <c r="G995" s="28"/>
      <c r="H995" s="1"/>
    </row>
    <row r="996" spans="5:8" ht="13.5" customHeight="1" ns3:dyDescent="0.3">
      <c r="E996" s="1"/>
      <c r="F996" s="1"/>
      <c r="G996" s="28"/>
      <c r="H996" s="1"/>
    </row>
    <row r="997" spans="5:8" ht="13.5" customHeight="1" ns3:dyDescent="0.3">
      <c r="E997" s="1"/>
      <c r="F997" s="1"/>
      <c r="G997" s="28"/>
      <c r="H997" s="1"/>
    </row>
    <row r="998" spans="5:8" ht="13.5" customHeight="1" ns3:dyDescent="0.3">
      <c r="E998" s="1"/>
      <c r="F998" s="1"/>
      <c r="G998" s="28"/>
      <c r="H998" s="1"/>
    </row>
    <row r="999" spans="5:8" ht="13.5" customHeight="1" ns3:dyDescent="0.3">
      <c r="E999" s="1"/>
      <c r="F999" s="1"/>
      <c r="G999" s="28"/>
      <c r="H999" s="1"/>
    </row>
    <row r="1000" spans="5:8" ht="13.5" customHeight="1" ns3:dyDescent="0.3">
      <c r="E1000" s="1"/>
      <c r="F1000" s="1"/>
      <c r="G1000" s="28"/>
      <c r="H1000" s="1"/>
    </row>
    <row r="1001" spans="5:8" ht="13.5" customHeight="1" ns3:dyDescent="0.3">
      <c r="E1001" s="1"/>
      <c r="F1001" s="1"/>
      <c r="G1001" s="28"/>
      <c r="H1001" s="1"/>
    </row>
  </sheetData>
  <mergeCells count="3">
    <mergeCell ref="J4:J6"/>
    <mergeCell ref="O5:O6"/>
    <mergeCell ref="M3:M6"/>
  </mergeCells>
  <pageMargins left="0.7" right="0.7" top="0.75" bottom="0.75" header="0.3" footer="0.3"/>
  <drawing ns4:id="rId1"/>
  <legacyDrawing ns4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ADB"/>
  </sheetPr>
  <dimension ref="B1:AB1000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4.44140625" defaultRowHeight="13.8" x14ac:dyDescent="0.3"/>
  <cols>
    <col min="1" max="1" width="5.44140625" customWidth="1"/>
    <col min="2" max="3" width="11.44140625" customWidth="1"/>
    <col min="4" max="4" width="42" customWidth="1"/>
    <col min="5" max="5" width="25" customWidth="1"/>
    <col min="6" max="6" width="13.33203125" customWidth="1"/>
    <col min="7" max="7" width="12.5546875" customWidth="1"/>
    <col min="8" max="11" width="11.5546875" customWidth="1"/>
    <col min="12" max="26" width="5.44140625" customWidth="1"/>
  </cols>
  <sheetData>
    <row r="1" spans="2:26" ht="13.5" customHeight="1" x14ac:dyDescent="0.3">
      <c r="B1" s="7"/>
      <c r="C1" s="8"/>
    </row>
    <row r="2" spans="2:26" ht="13.5" customHeight="1" x14ac:dyDescent="0.3">
      <c r="B2" s="7"/>
      <c r="C2" s="8"/>
      <c r="H2" s="85" t="s">
        <v>226</v>
      </c>
    </row>
    <row r="3" spans="2:26" ht="13.5" customHeight="1" x14ac:dyDescent="0.3">
      <c r="B3" s="7"/>
      <c r="C3" s="8"/>
      <c r="H3" s="79"/>
      <c r="K3" s="89" t="s">
        <v>227</v>
      </c>
      <c r="L3" s="86" t="s">
        <v>228</v>
      </c>
      <c r="M3" s="79"/>
      <c r="N3" s="79"/>
      <c r="O3" s="79"/>
      <c r="P3" s="79"/>
      <c r="Q3" s="79"/>
      <c r="R3" s="79"/>
      <c r="S3" s="79"/>
      <c r="T3" s="79"/>
      <c r="U3" s="79"/>
    </row>
    <row r="4" spans="2:26" ht="12.75" customHeight="1" x14ac:dyDescent="0.3">
      <c r="B4" s="7"/>
      <c r="C4" s="8"/>
      <c r="E4" s="87" t="s">
        <v>229</v>
      </c>
      <c r="G4" s="90" t="s">
        <v>230</v>
      </c>
      <c r="H4" s="79"/>
      <c r="I4" s="89" t="s">
        <v>231</v>
      </c>
      <c r="J4" s="85" t="s">
        <v>232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2:26" ht="18" customHeight="1" x14ac:dyDescent="0.3">
      <c r="B5" s="88" t="s">
        <v>233</v>
      </c>
      <c r="C5" s="79"/>
      <c r="E5" s="79"/>
      <c r="F5" s="87" t="s">
        <v>234</v>
      </c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</row>
    <row r="6" spans="2:26" ht="13.5" customHeight="1" x14ac:dyDescent="0.3">
      <c r="B6" s="9"/>
      <c r="C6" s="8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</row>
    <row r="7" spans="2:26" ht="34.5" customHeight="1" x14ac:dyDescent="0.3">
      <c r="B7" s="69" t="s">
        <v>235</v>
      </c>
      <c r="C7" s="69" t="s">
        <v>236</v>
      </c>
      <c r="D7" s="69" t="s">
        <v>44</v>
      </c>
      <c r="E7" s="69" t="s">
        <v>65</v>
      </c>
      <c r="F7" s="69" t="s">
        <v>20</v>
      </c>
      <c r="G7" s="69" t="s">
        <v>237</v>
      </c>
      <c r="H7" s="69" t="s">
        <v>238</v>
      </c>
      <c r="I7" s="69" t="s">
        <v>239</v>
      </c>
      <c r="J7" s="69" t="s">
        <v>240</v>
      </c>
      <c r="K7" s="69" t="s">
        <v>241</v>
      </c>
      <c r="L7" s="69" t="s">
        <v>242</v>
      </c>
      <c r="M7" s="69" t="s">
        <v>243</v>
      </c>
      <c r="N7" s="69" t="s">
        <v>244</v>
      </c>
      <c r="O7" s="69" t="s">
        <v>245</v>
      </c>
      <c r="P7" s="69" t="s">
        <v>246</v>
      </c>
      <c r="Q7" s="69" t="s">
        <v>247</v>
      </c>
      <c r="R7" s="69" t="s">
        <v>248</v>
      </c>
      <c r="S7" s="69" t="s">
        <v>249</v>
      </c>
      <c r="T7" s="69" t="s">
        <v>250</v>
      </c>
      <c r="U7" s="69" t="s">
        <v>251</v>
      </c>
      <c r="V7" s="69" t="s">
        <v>252</v>
      </c>
      <c r="W7" s="69" t="s">
        <v>253</v>
      </c>
      <c r="X7" s="69" t="s">
        <v>254</v>
      </c>
      <c r="Y7" s="69" t="s">
        <v>255</v>
      </c>
      <c r="Z7" s="69" t="s">
        <v>256</v>
      </c>
    </row>
    <row r="8" spans="2:26" ht="13.5" customHeight="1" x14ac:dyDescent="0.3">
      <c r="B8" s="25" t="s">
        <v>257</v>
      </c>
      <c r="C8" s="25" t="s">
        <v>215</v>
      </c>
      <c r="D8" s="25" t="s">
        <v>258</v>
      </c>
      <c r="E8" s="25" t="s">
        <v>3</v>
      </c>
      <c r="F8" s="25" t="s">
        <v>259</v>
      </c>
      <c r="G8" s="70">
        <v>10</v>
      </c>
      <c r="H8" s="71">
        <f t="shared" ref="H8:H19" si="0">SUM(L8:Z8)</f>
        <v>0</v>
      </c>
      <c r="I8" s="71">
        <f t="shared" ref="I8:I19" si="1">G8-H8</f>
        <v>10</v>
      </c>
      <c r="J8" s="71">
        <v>0</v>
      </c>
      <c r="K8" s="71" t="str">
        <f t="shared" ref="K8:K19" si="2">IF(F8="Done",J8-G8,"")</f>
        <v/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2:26" ht="13.5" customHeight="1" x14ac:dyDescent="0.3">
      <c r="B9" s="25" t="s">
        <v>260</v>
      </c>
      <c r="C9" s="25" t="s">
        <v>215</v>
      </c>
      <c r="D9" s="25" t="s">
        <v>261</v>
      </c>
      <c r="E9" s="25" t="s">
        <v>13</v>
      </c>
      <c r="F9" s="25" t="s">
        <v>259</v>
      </c>
      <c r="G9" s="70">
        <v>8</v>
      </c>
      <c r="H9" s="71">
        <f t="shared" si="0"/>
        <v>0</v>
      </c>
      <c r="I9" s="71">
        <f t="shared" si="1"/>
        <v>8</v>
      </c>
      <c r="J9" s="71">
        <v>0</v>
      </c>
      <c r="K9" s="71" t="str">
        <f t="shared" si="2"/>
        <v/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2:26" ht="13.5" customHeight="1" x14ac:dyDescent="0.3">
      <c r="B10" s="25" t="s">
        <v>262</v>
      </c>
      <c r="C10" s="25" t="s">
        <v>66</v>
      </c>
      <c r="D10" s="25" t="s">
        <v>263</v>
      </c>
      <c r="E10" s="25" t="s">
        <v>13</v>
      </c>
      <c r="F10" s="72" t="s">
        <v>259</v>
      </c>
      <c r="G10" s="70">
        <v>8</v>
      </c>
      <c r="H10" s="71">
        <f t="shared" si="0"/>
        <v>0</v>
      </c>
      <c r="I10" s="71">
        <f t="shared" si="1"/>
        <v>8</v>
      </c>
      <c r="J10" s="71">
        <v>0</v>
      </c>
      <c r="K10" s="71" t="str">
        <f t="shared" si="2"/>
        <v/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2:26" ht="13.5" customHeight="1" x14ac:dyDescent="0.3">
      <c r="B11" s="25" t="s">
        <v>264</v>
      </c>
      <c r="C11" s="25" t="s">
        <v>66</v>
      </c>
      <c r="D11" s="25" t="s">
        <v>265</v>
      </c>
      <c r="E11" s="25" t="s">
        <v>3</v>
      </c>
      <c r="F11" s="25" t="s">
        <v>259</v>
      </c>
      <c r="G11" s="70">
        <v>12</v>
      </c>
      <c r="H11" s="71">
        <f t="shared" si="0"/>
        <v>0</v>
      </c>
      <c r="I11" s="71">
        <f t="shared" si="1"/>
        <v>12</v>
      </c>
      <c r="J11" s="71">
        <v>0</v>
      </c>
      <c r="K11" s="71" t="str">
        <f t="shared" si="2"/>
        <v/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2:26" ht="13.5" customHeight="1" x14ac:dyDescent="0.3">
      <c r="B12" s="25" t="s">
        <v>266</v>
      </c>
      <c r="C12" s="25" t="s">
        <v>76</v>
      </c>
      <c r="D12" s="25" t="s">
        <v>267</v>
      </c>
      <c r="E12" s="25" t="s">
        <v>10</v>
      </c>
      <c r="F12" s="25" t="s">
        <v>259</v>
      </c>
      <c r="G12" s="70">
        <v>8</v>
      </c>
      <c r="H12" s="71">
        <f t="shared" si="0"/>
        <v>0</v>
      </c>
      <c r="I12" s="71">
        <f t="shared" si="1"/>
        <v>8</v>
      </c>
      <c r="J12" s="71">
        <v>0</v>
      </c>
      <c r="K12" s="71" t="str">
        <f t="shared" si="2"/>
        <v/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2:26" ht="13.5" customHeight="1" x14ac:dyDescent="0.3">
      <c r="B13" s="25" t="s">
        <v>268</v>
      </c>
      <c r="C13" s="25" t="s">
        <v>82</v>
      </c>
      <c r="D13" s="25" t="s">
        <v>269</v>
      </c>
      <c r="E13" s="25" t="s">
        <v>7</v>
      </c>
      <c r="F13" s="25" t="s">
        <v>259</v>
      </c>
      <c r="G13" s="70">
        <v>8</v>
      </c>
      <c r="H13" s="71">
        <f t="shared" si="0"/>
        <v>0</v>
      </c>
      <c r="I13" s="71">
        <f t="shared" si="1"/>
        <v>8</v>
      </c>
      <c r="J13" s="71">
        <v>0</v>
      </c>
      <c r="K13" s="71" t="str">
        <f t="shared" si="2"/>
        <v/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2:26" ht="13.5" customHeight="1" x14ac:dyDescent="0.3">
      <c r="B14" s="25" t="s">
        <v>270</v>
      </c>
      <c r="C14" s="25" t="s">
        <v>82</v>
      </c>
      <c r="D14" s="25" t="s">
        <v>271</v>
      </c>
      <c r="E14" s="72" t="s">
        <v>7</v>
      </c>
      <c r="F14" s="72" t="s">
        <v>259</v>
      </c>
      <c r="G14" s="70">
        <v>14</v>
      </c>
      <c r="H14" s="71">
        <f t="shared" si="0"/>
        <v>0</v>
      </c>
      <c r="I14" s="71">
        <f t="shared" si="1"/>
        <v>14</v>
      </c>
      <c r="J14" s="71">
        <v>0</v>
      </c>
      <c r="K14" s="71" t="str">
        <f t="shared" si="2"/>
        <v/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2:26" ht="13.5" customHeight="1" x14ac:dyDescent="0.3">
      <c r="B15" s="25" t="s">
        <v>272</v>
      </c>
      <c r="C15" s="25" t="s">
        <v>89</v>
      </c>
      <c r="D15" s="25" t="s">
        <v>273</v>
      </c>
      <c r="E15" s="25" t="s">
        <v>3</v>
      </c>
      <c r="F15" s="25" t="s">
        <v>259</v>
      </c>
      <c r="G15" s="70">
        <v>8</v>
      </c>
      <c r="H15" s="71">
        <f t="shared" si="0"/>
        <v>0</v>
      </c>
      <c r="I15" s="71">
        <f t="shared" si="1"/>
        <v>8</v>
      </c>
      <c r="J15" s="71">
        <v>0</v>
      </c>
      <c r="K15" s="71" t="str">
        <f t="shared" si="2"/>
        <v/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2:26" ht="13.5" customHeight="1" x14ac:dyDescent="0.3">
      <c r="B16" s="25" t="s">
        <v>274</v>
      </c>
      <c r="C16" s="25" t="s">
        <v>190</v>
      </c>
      <c r="D16" s="25" t="s">
        <v>275</v>
      </c>
      <c r="E16" s="25" t="s">
        <v>8</v>
      </c>
      <c r="F16" s="25" t="s">
        <v>259</v>
      </c>
      <c r="G16" s="70">
        <v>10</v>
      </c>
      <c r="H16" s="71">
        <f t="shared" si="0"/>
        <v>0</v>
      </c>
      <c r="I16" s="71">
        <f t="shared" si="1"/>
        <v>10</v>
      </c>
      <c r="J16" s="71">
        <v>0</v>
      </c>
      <c r="K16" s="71" t="str">
        <f t="shared" si="2"/>
        <v/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2:26" ht="13.5" customHeight="1" x14ac:dyDescent="0.3">
      <c r="B17" s="73" t="s">
        <v>276</v>
      </c>
      <c r="C17" s="25" t="s">
        <v>209</v>
      </c>
      <c r="D17" s="25" t="s">
        <v>277</v>
      </c>
      <c r="E17" s="25" t="s">
        <v>10</v>
      </c>
      <c r="F17" s="25" t="s">
        <v>259</v>
      </c>
      <c r="G17" s="70">
        <v>10</v>
      </c>
      <c r="H17" s="71">
        <f t="shared" si="0"/>
        <v>0</v>
      </c>
      <c r="I17" s="71">
        <f t="shared" si="1"/>
        <v>10</v>
      </c>
      <c r="J17" s="71">
        <v>0</v>
      </c>
      <c r="K17" s="71" t="str">
        <f t="shared" si="2"/>
        <v/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2:26" ht="13.5" customHeight="1" x14ac:dyDescent="0.3">
      <c r="B18" s="25" t="s">
        <v>278</v>
      </c>
      <c r="C18" s="25" t="s">
        <v>221</v>
      </c>
      <c r="D18" s="25" t="s">
        <v>279</v>
      </c>
      <c r="E18" s="25" t="s">
        <v>3</v>
      </c>
      <c r="F18" s="25" t="s">
        <v>259</v>
      </c>
      <c r="G18" s="70">
        <v>8</v>
      </c>
      <c r="H18" s="71">
        <f t="shared" si="0"/>
        <v>0</v>
      </c>
      <c r="I18" s="71">
        <f t="shared" si="1"/>
        <v>8</v>
      </c>
      <c r="J18" s="71">
        <v>0</v>
      </c>
      <c r="K18" s="71" t="str">
        <f t="shared" si="2"/>
        <v/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2:26" ht="13.5" customHeight="1" x14ac:dyDescent="0.3">
      <c r="B19" s="73" t="s">
        <v>280</v>
      </c>
      <c r="C19" s="25" t="s">
        <v>215</v>
      </c>
      <c r="D19" s="25" t="s">
        <v>281</v>
      </c>
      <c r="E19" s="25" t="s">
        <v>3</v>
      </c>
      <c r="F19" s="25" t="s">
        <v>259</v>
      </c>
      <c r="G19" s="70">
        <v>8</v>
      </c>
      <c r="H19" s="71">
        <f t="shared" si="0"/>
        <v>0</v>
      </c>
      <c r="I19" s="71">
        <f t="shared" si="1"/>
        <v>8</v>
      </c>
      <c r="J19" s="71">
        <v>0</v>
      </c>
      <c r="K19" s="71" t="str">
        <f t="shared" si="2"/>
        <v/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2:26" ht="13.5" customHeight="1" x14ac:dyDescent="0.3">
      <c r="B20" s="11"/>
      <c r="C20" s="5"/>
      <c r="D20" s="36"/>
      <c r="E20" s="4"/>
      <c r="F20" s="4"/>
      <c r="G20" s="51"/>
      <c r="H20" s="52"/>
      <c r="I20" s="52"/>
      <c r="J20" s="52"/>
      <c r="K20" s="52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2:26" ht="13.5" customHeight="1" x14ac:dyDescent="0.3">
      <c r="B21" s="48"/>
      <c r="C21" s="5"/>
      <c r="D21" s="36"/>
      <c r="E21" s="4"/>
      <c r="F21" s="4"/>
      <c r="G21" s="51"/>
      <c r="H21" s="52"/>
      <c r="I21" s="52"/>
      <c r="J21" s="52"/>
      <c r="K21" s="52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2:26" ht="13.5" customHeight="1" x14ac:dyDescent="0.3">
      <c r="B22" s="48"/>
      <c r="C22" s="5"/>
      <c r="D22" s="36"/>
      <c r="E22" s="4"/>
      <c r="F22" s="4"/>
      <c r="G22" s="51"/>
      <c r="H22" s="52"/>
      <c r="I22" s="52"/>
      <c r="J22" s="52"/>
      <c r="K22" s="52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2:26" ht="13.5" customHeight="1" x14ac:dyDescent="0.3">
      <c r="B23" s="11"/>
      <c r="C23" s="5"/>
      <c r="D23" s="36"/>
      <c r="E23" s="4"/>
      <c r="F23" s="4"/>
      <c r="G23" s="51"/>
      <c r="H23" s="52"/>
      <c r="I23" s="52"/>
      <c r="J23" s="52"/>
      <c r="K23" s="52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2:26" ht="13.5" customHeight="1" x14ac:dyDescent="0.3">
      <c r="B24" s="48"/>
      <c r="C24" s="5"/>
      <c r="D24" s="36"/>
      <c r="E24" s="4"/>
      <c r="F24" s="4"/>
      <c r="G24" s="51"/>
      <c r="H24" s="52"/>
      <c r="I24" s="52"/>
      <c r="J24" s="52"/>
      <c r="K24" s="52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2:26" ht="13.5" customHeight="1" x14ac:dyDescent="0.3">
      <c r="B25" s="11"/>
      <c r="C25" s="5"/>
      <c r="D25" s="36"/>
      <c r="E25" s="4"/>
      <c r="F25" s="4"/>
      <c r="G25" s="51"/>
      <c r="H25" s="52"/>
      <c r="I25" s="52"/>
      <c r="J25" s="52"/>
      <c r="K25" s="52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2:26" ht="13.5" customHeight="1" x14ac:dyDescent="0.3">
      <c r="B26" s="48"/>
      <c r="C26" s="5"/>
      <c r="D26" s="36"/>
      <c r="E26" s="4"/>
      <c r="F26" s="4"/>
      <c r="G26" s="51"/>
      <c r="H26" s="52"/>
      <c r="I26" s="52"/>
      <c r="J26" s="52"/>
      <c r="K26" s="52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2:26" ht="13.5" customHeight="1" x14ac:dyDescent="0.3">
      <c r="B27" s="48"/>
      <c r="C27" s="5"/>
      <c r="D27" s="36"/>
      <c r="E27" s="4"/>
      <c r="F27" s="4"/>
      <c r="G27" s="51"/>
      <c r="H27" s="52"/>
      <c r="I27" s="52"/>
      <c r="J27" s="52"/>
      <c r="K27" s="52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2:26" ht="13.5" customHeight="1" x14ac:dyDescent="0.3">
      <c r="B28" s="11"/>
      <c r="C28" s="5"/>
      <c r="D28" s="36"/>
      <c r="E28" s="4"/>
      <c r="F28" s="4"/>
      <c r="G28" s="51"/>
      <c r="H28" s="52"/>
      <c r="I28" s="52"/>
      <c r="J28" s="52"/>
      <c r="K28" s="52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2:26" ht="13.5" customHeight="1" x14ac:dyDescent="0.3">
      <c r="B29" s="48"/>
      <c r="C29" s="5"/>
      <c r="D29" s="36"/>
      <c r="E29" s="4"/>
      <c r="F29" s="4"/>
      <c r="G29" s="51"/>
      <c r="H29" s="52"/>
      <c r="I29" s="52"/>
      <c r="J29" s="52"/>
      <c r="K29" s="52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2:26" ht="13.5" customHeight="1" x14ac:dyDescent="0.3">
      <c r="B30" s="11"/>
      <c r="C30" s="5"/>
      <c r="D30" s="36"/>
      <c r="E30" s="4"/>
      <c r="F30" s="4"/>
      <c r="G30" s="51"/>
      <c r="H30" s="52"/>
      <c r="I30" s="52"/>
      <c r="J30" s="52"/>
      <c r="K30" s="5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2:26" ht="13.5" customHeight="1" x14ac:dyDescent="0.3">
      <c r="B31" s="11"/>
      <c r="C31" s="5"/>
      <c r="D31" s="36"/>
      <c r="E31" s="4"/>
      <c r="F31" s="4"/>
      <c r="G31" s="51"/>
      <c r="H31" s="52"/>
      <c r="I31" s="52"/>
      <c r="J31" s="52"/>
      <c r="K31" s="5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2:26" ht="13.5" customHeight="1" x14ac:dyDescent="0.3">
      <c r="B32" s="11"/>
      <c r="C32" s="5"/>
      <c r="D32" s="36"/>
      <c r="E32" s="4"/>
      <c r="F32" s="4"/>
      <c r="G32" s="51"/>
      <c r="H32" s="52"/>
      <c r="I32" s="52"/>
      <c r="J32" s="52"/>
      <c r="K32" s="5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2:28" ht="13.5" customHeight="1" x14ac:dyDescent="0.3">
      <c r="B33" s="11"/>
      <c r="C33" s="5"/>
      <c r="D33" s="36"/>
      <c r="E33" s="4"/>
      <c r="F33" s="4"/>
      <c r="G33" s="51"/>
      <c r="H33" s="52"/>
      <c r="I33" s="52"/>
      <c r="J33" s="52"/>
      <c r="K33" s="52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2:28" ht="13.5" customHeight="1" x14ac:dyDescent="0.3">
      <c r="B34" s="11"/>
      <c r="C34" s="5"/>
      <c r="D34" s="36"/>
      <c r="E34" s="4"/>
      <c r="F34" s="4"/>
      <c r="G34" s="51"/>
      <c r="H34" s="52"/>
      <c r="I34" s="52"/>
      <c r="J34" s="52"/>
      <c r="K34" s="52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2:28" ht="13.5" customHeight="1" x14ac:dyDescent="0.3">
      <c r="B35" s="11"/>
      <c r="C35" s="5"/>
      <c r="D35" s="36"/>
      <c r="E35" s="4"/>
      <c r="F35" s="4"/>
      <c r="G35" s="51"/>
      <c r="H35" s="52"/>
      <c r="I35" s="52"/>
      <c r="J35" s="52"/>
      <c r="K35" s="52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2:28" ht="13.5" customHeight="1" x14ac:dyDescent="0.3">
      <c r="B36" s="11"/>
      <c r="C36" s="5"/>
      <c r="D36" s="36"/>
      <c r="E36" s="4"/>
      <c r="F36" s="4"/>
      <c r="G36" s="51"/>
      <c r="H36" s="52"/>
      <c r="I36" s="52"/>
      <c r="J36" s="52"/>
      <c r="K36" s="52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2:28" ht="13.5" customHeight="1" x14ac:dyDescent="0.3">
      <c r="B37" s="12"/>
      <c r="C37" s="13"/>
      <c r="D37" s="14"/>
      <c r="E37" s="14"/>
      <c r="F37" s="15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2:28" ht="13.5" customHeight="1" x14ac:dyDescent="0.3">
      <c r="B38" s="16"/>
      <c r="C38" s="17"/>
      <c r="D38" s="18"/>
      <c r="E38" s="18"/>
      <c r="F38" s="74" t="s">
        <v>282</v>
      </c>
      <c r="G38" s="75">
        <f t="shared" ref="G38:Z38" si="3">SUM(G8:G19)</f>
        <v>112</v>
      </c>
      <c r="H38" s="75">
        <f t="shared" si="3"/>
        <v>0</v>
      </c>
      <c r="I38" s="75">
        <f t="shared" si="3"/>
        <v>112</v>
      </c>
      <c r="J38" s="75">
        <f t="shared" si="3"/>
        <v>0</v>
      </c>
      <c r="K38" s="75">
        <f t="shared" si="3"/>
        <v>0</v>
      </c>
      <c r="L38" s="75">
        <f t="shared" si="3"/>
        <v>0</v>
      </c>
      <c r="M38" s="75">
        <f t="shared" si="3"/>
        <v>0</v>
      </c>
      <c r="N38" s="75">
        <f t="shared" si="3"/>
        <v>0</v>
      </c>
      <c r="O38" s="75">
        <f t="shared" si="3"/>
        <v>0</v>
      </c>
      <c r="P38" s="75">
        <f t="shared" si="3"/>
        <v>0</v>
      </c>
      <c r="Q38" s="75">
        <f t="shared" si="3"/>
        <v>0</v>
      </c>
      <c r="R38" s="75">
        <f t="shared" si="3"/>
        <v>0</v>
      </c>
      <c r="S38" s="75">
        <f t="shared" si="3"/>
        <v>0</v>
      </c>
      <c r="T38" s="75">
        <f t="shared" si="3"/>
        <v>0</v>
      </c>
      <c r="U38" s="75">
        <f t="shared" si="3"/>
        <v>0</v>
      </c>
      <c r="V38" s="75">
        <f t="shared" si="3"/>
        <v>0</v>
      </c>
      <c r="W38" s="75">
        <f t="shared" si="3"/>
        <v>0</v>
      </c>
      <c r="X38" s="75">
        <f t="shared" si="3"/>
        <v>0</v>
      </c>
      <c r="Y38" s="75">
        <f t="shared" si="3"/>
        <v>0</v>
      </c>
      <c r="Z38" s="75">
        <f t="shared" si="3"/>
        <v>0</v>
      </c>
    </row>
    <row r="39" spans="2:28" ht="13.5" customHeight="1" x14ac:dyDescent="0.3">
      <c r="B39" s="16"/>
      <c r="C39" s="17"/>
      <c r="D39" s="18"/>
      <c r="E39" s="18"/>
      <c r="F39" s="74" t="s">
        <v>283</v>
      </c>
      <c r="G39" s="53"/>
      <c r="H39" s="53"/>
      <c r="I39" s="53"/>
      <c r="J39" s="53"/>
      <c r="K39" s="53"/>
      <c r="L39" s="75">
        <f>G38-L38</f>
        <v>112</v>
      </c>
      <c r="M39" s="75">
        <f t="shared" ref="M39:Z39" si="4">L39-M38</f>
        <v>112</v>
      </c>
      <c r="N39" s="75">
        <f t="shared" si="4"/>
        <v>112</v>
      </c>
      <c r="O39" s="75">
        <f t="shared" si="4"/>
        <v>112</v>
      </c>
      <c r="P39" s="75">
        <f t="shared" si="4"/>
        <v>112</v>
      </c>
      <c r="Q39" s="75">
        <f t="shared" si="4"/>
        <v>112</v>
      </c>
      <c r="R39" s="75">
        <f t="shared" si="4"/>
        <v>112</v>
      </c>
      <c r="S39" s="75">
        <f t="shared" si="4"/>
        <v>112</v>
      </c>
      <c r="T39" s="75">
        <f t="shared" si="4"/>
        <v>112</v>
      </c>
      <c r="U39" s="75">
        <f t="shared" si="4"/>
        <v>112</v>
      </c>
      <c r="V39" s="75">
        <f t="shared" si="4"/>
        <v>112</v>
      </c>
      <c r="W39" s="75">
        <f t="shared" si="4"/>
        <v>112</v>
      </c>
      <c r="X39" s="75">
        <f t="shared" si="4"/>
        <v>112</v>
      </c>
      <c r="Y39" s="75">
        <f t="shared" si="4"/>
        <v>112</v>
      </c>
      <c r="Z39" s="75">
        <f t="shared" si="4"/>
        <v>112</v>
      </c>
    </row>
    <row r="40" spans="2:28" ht="13.5" customHeight="1" x14ac:dyDescent="0.3">
      <c r="B40" s="16"/>
      <c r="C40" s="17"/>
      <c r="D40" s="18"/>
      <c r="E40" s="18"/>
      <c r="F40" s="74" t="s">
        <v>284</v>
      </c>
      <c r="G40" s="53"/>
      <c r="H40" s="53"/>
      <c r="I40" s="53"/>
      <c r="J40" s="53"/>
      <c r="K40" s="53"/>
      <c r="L40" s="75">
        <f>L38</f>
        <v>0</v>
      </c>
      <c r="M40" s="75">
        <f t="shared" ref="M40:Z40" si="5">L40+M38</f>
        <v>0</v>
      </c>
      <c r="N40" s="75">
        <f t="shared" si="5"/>
        <v>0</v>
      </c>
      <c r="O40" s="75">
        <f t="shared" si="5"/>
        <v>0</v>
      </c>
      <c r="P40" s="75">
        <f t="shared" si="5"/>
        <v>0</v>
      </c>
      <c r="Q40" s="75">
        <f t="shared" si="5"/>
        <v>0</v>
      </c>
      <c r="R40" s="75">
        <f t="shared" si="5"/>
        <v>0</v>
      </c>
      <c r="S40" s="75">
        <f t="shared" si="5"/>
        <v>0</v>
      </c>
      <c r="T40" s="75">
        <f t="shared" si="5"/>
        <v>0</v>
      </c>
      <c r="U40" s="75">
        <f t="shared" si="5"/>
        <v>0</v>
      </c>
      <c r="V40" s="75">
        <f t="shared" si="5"/>
        <v>0</v>
      </c>
      <c r="W40" s="75">
        <f t="shared" si="5"/>
        <v>0</v>
      </c>
      <c r="X40" s="75">
        <f t="shared" si="5"/>
        <v>0</v>
      </c>
      <c r="Y40" s="75">
        <f t="shared" si="5"/>
        <v>0</v>
      </c>
      <c r="Z40" s="75">
        <f t="shared" si="5"/>
        <v>0</v>
      </c>
    </row>
    <row r="41" spans="2:28" ht="13.5" customHeight="1" x14ac:dyDescent="0.3">
      <c r="B41" s="16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2:28" ht="13.5" customHeight="1" x14ac:dyDescent="0.3">
      <c r="B42" s="7"/>
      <c r="C42" s="8"/>
    </row>
    <row r="43" spans="2:28" ht="13.5" customHeight="1" x14ac:dyDescent="0.3">
      <c r="B43" s="7"/>
      <c r="C43" s="8"/>
    </row>
    <row r="44" spans="2:28" ht="13.05" customHeight="1" x14ac:dyDescent="0.3">
      <c r="B44" s="45"/>
      <c r="C44" s="46"/>
      <c r="J44" s="82" t="s">
        <v>285</v>
      </c>
      <c r="K44" s="83"/>
      <c r="L44" s="76">
        <v>1</v>
      </c>
      <c r="M44" s="76">
        <v>2</v>
      </c>
      <c r="N44" s="76">
        <v>3</v>
      </c>
      <c r="O44" s="76">
        <v>4</v>
      </c>
      <c r="P44" s="76">
        <v>5</v>
      </c>
      <c r="Q44" s="76">
        <v>6</v>
      </c>
      <c r="R44" s="76">
        <v>7</v>
      </c>
      <c r="S44" s="76">
        <v>8</v>
      </c>
      <c r="T44" s="76">
        <v>9</v>
      </c>
      <c r="U44" s="76">
        <v>10</v>
      </c>
      <c r="V44" s="76">
        <v>11</v>
      </c>
      <c r="W44" s="76">
        <v>12</v>
      </c>
      <c r="X44" s="76">
        <v>13</v>
      </c>
      <c r="Y44" s="76">
        <v>14</v>
      </c>
      <c r="Z44" s="76">
        <v>15</v>
      </c>
      <c r="AA44" s="84" t="s">
        <v>286</v>
      </c>
      <c r="AB44" s="79"/>
    </row>
    <row r="45" spans="2:28" ht="13.05" customHeight="1" x14ac:dyDescent="0.3">
      <c r="B45" s="45"/>
      <c r="C45" s="46"/>
      <c r="J45" s="82" t="s">
        <v>3</v>
      </c>
      <c r="K45" s="83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54">
        <f>SUM(L45:Z45)</f>
        <v>0</v>
      </c>
    </row>
    <row r="46" spans="2:28" ht="13.05" customHeight="1" x14ac:dyDescent="0.3">
      <c r="B46" s="45"/>
      <c r="C46" s="46"/>
      <c r="J46" s="82" t="s">
        <v>7</v>
      </c>
      <c r="K46" s="83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54">
        <f>SUM(L46:Z46)</f>
        <v>0</v>
      </c>
    </row>
    <row r="47" spans="2:28" ht="13.05" customHeight="1" x14ac:dyDescent="0.3">
      <c r="B47" s="45"/>
      <c r="C47" s="46"/>
      <c r="J47" s="82" t="s">
        <v>8</v>
      </c>
      <c r="K47" s="83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54">
        <f>SUM(L47:Z47)</f>
        <v>0</v>
      </c>
    </row>
    <row r="48" spans="2:28" ht="13.05" customHeight="1" x14ac:dyDescent="0.3">
      <c r="B48" s="45"/>
      <c r="C48" s="46"/>
      <c r="J48" s="82" t="s">
        <v>10</v>
      </c>
      <c r="K48" s="83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54">
        <f>SUM(L48:Z48)</f>
        <v>0</v>
      </c>
    </row>
    <row r="49" spans="2:27" ht="13.05" customHeight="1" x14ac:dyDescent="0.3">
      <c r="B49" s="45"/>
      <c r="C49" s="46"/>
      <c r="J49" s="82" t="s">
        <v>13</v>
      </c>
      <c r="K49" s="83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54">
        <f>SUM(L49:Z49)</f>
        <v>0</v>
      </c>
    </row>
    <row r="50" spans="2:27" ht="13.05" customHeight="1" x14ac:dyDescent="0.3">
      <c r="B50" s="45"/>
      <c r="C50" s="46"/>
      <c r="AA50" s="77">
        <f>SUM(AA45:AA49)</f>
        <v>0</v>
      </c>
    </row>
    <row r="51" spans="2:27" ht="13.05" customHeight="1" x14ac:dyDescent="0.3">
      <c r="B51" s="45"/>
      <c r="C51" s="46"/>
      <c r="J51" s="54" t="s">
        <v>287</v>
      </c>
    </row>
    <row r="52" spans="2:27" ht="13.05" customHeight="1" x14ac:dyDescent="0.3">
      <c r="B52" s="45"/>
      <c r="C52" s="46"/>
    </row>
    <row r="53" spans="2:27" ht="13.5" customHeight="1" x14ac:dyDescent="0.3">
      <c r="B53" s="7"/>
      <c r="C53" s="8"/>
    </row>
    <row r="54" spans="2:27" ht="13.5" customHeight="1" x14ac:dyDescent="0.3">
      <c r="B54" s="7"/>
      <c r="C54" s="8"/>
    </row>
    <row r="55" spans="2:27" ht="13.5" customHeight="1" x14ac:dyDescent="0.3">
      <c r="B55" s="7"/>
      <c r="C55" s="8"/>
    </row>
    <row r="56" spans="2:27" ht="13.5" customHeight="1" x14ac:dyDescent="0.3">
      <c r="B56" s="7"/>
      <c r="C56" s="8"/>
    </row>
    <row r="57" spans="2:27" ht="13.5" customHeight="1" x14ac:dyDescent="0.3">
      <c r="B57" s="7"/>
      <c r="C57" s="8"/>
    </row>
    <row r="58" spans="2:27" ht="13.5" customHeight="1" x14ac:dyDescent="0.3">
      <c r="B58" s="7"/>
      <c r="C58" s="8"/>
    </row>
    <row r="59" spans="2:27" ht="13.5" customHeight="1" x14ac:dyDescent="0.3">
      <c r="B59" s="7"/>
      <c r="C59" s="8"/>
    </row>
    <row r="60" spans="2:27" ht="13.5" customHeight="1" x14ac:dyDescent="0.3">
      <c r="B60" s="7"/>
      <c r="C60" s="8"/>
    </row>
    <row r="61" spans="2:27" ht="13.5" customHeight="1" x14ac:dyDescent="0.3">
      <c r="B61" s="7"/>
      <c r="C61" s="8"/>
    </row>
    <row r="62" spans="2:27" ht="13.5" customHeight="1" x14ac:dyDescent="0.3">
      <c r="B62" s="7"/>
      <c r="C62" s="8"/>
    </row>
    <row r="63" spans="2:27" ht="13.5" customHeight="1" x14ac:dyDescent="0.3">
      <c r="B63" s="7"/>
      <c r="C63" s="8"/>
    </row>
    <row r="64" spans="2:27" ht="13.5" customHeight="1" x14ac:dyDescent="0.3">
      <c r="B64" s="7"/>
      <c r="C64" s="8"/>
    </row>
    <row r="65" spans="2:3" ht="13.5" customHeight="1" x14ac:dyDescent="0.3">
      <c r="B65" s="7"/>
      <c r="C65" s="8"/>
    </row>
    <row r="66" spans="2:3" ht="13.5" customHeight="1" x14ac:dyDescent="0.3">
      <c r="B66" s="7"/>
      <c r="C66" s="8"/>
    </row>
    <row r="67" spans="2:3" ht="13.5" customHeight="1" x14ac:dyDescent="0.3">
      <c r="B67" s="7"/>
      <c r="C67" s="8"/>
    </row>
    <row r="68" spans="2:3" ht="13.5" customHeight="1" x14ac:dyDescent="0.3">
      <c r="B68" s="7"/>
      <c r="C68" s="8"/>
    </row>
    <row r="69" spans="2:3" ht="13.5" customHeight="1" x14ac:dyDescent="0.3">
      <c r="B69" s="7"/>
      <c r="C69" s="8"/>
    </row>
    <row r="70" spans="2:3" ht="13.5" customHeight="1" x14ac:dyDescent="0.3">
      <c r="B70" s="7"/>
      <c r="C70" s="8"/>
    </row>
    <row r="71" spans="2:3" ht="13.5" customHeight="1" x14ac:dyDescent="0.3">
      <c r="B71" s="7"/>
      <c r="C71" s="8"/>
    </row>
    <row r="72" spans="2:3" ht="13.5" customHeight="1" x14ac:dyDescent="0.3">
      <c r="B72" s="7"/>
      <c r="C72" s="8"/>
    </row>
    <row r="73" spans="2:3" ht="13.5" customHeight="1" x14ac:dyDescent="0.3">
      <c r="B73" s="7"/>
      <c r="C73" s="8"/>
    </row>
    <row r="74" spans="2:3" ht="13.5" customHeight="1" x14ac:dyDescent="0.3">
      <c r="B74" s="7"/>
      <c r="C74" s="8"/>
    </row>
    <row r="75" spans="2:3" ht="13.5" customHeight="1" x14ac:dyDescent="0.3">
      <c r="B75" s="7"/>
      <c r="C75" s="8"/>
    </row>
    <row r="76" spans="2:3" ht="13.5" customHeight="1" x14ac:dyDescent="0.3">
      <c r="B76" s="7"/>
      <c r="C76" s="8"/>
    </row>
    <row r="77" spans="2:3" ht="13.5" customHeight="1" x14ac:dyDescent="0.3">
      <c r="B77" s="7"/>
      <c r="C77" s="8"/>
    </row>
    <row r="78" spans="2:3" ht="13.5" customHeight="1" x14ac:dyDescent="0.3">
      <c r="B78" s="7"/>
      <c r="C78" s="8"/>
    </row>
    <row r="79" spans="2:3" ht="13.5" customHeight="1" x14ac:dyDescent="0.3">
      <c r="B79" s="7"/>
      <c r="C79" s="8"/>
    </row>
    <row r="80" spans="2:3" ht="13.5" customHeight="1" x14ac:dyDescent="0.3">
      <c r="B80" s="7"/>
      <c r="C80" s="8"/>
    </row>
    <row r="81" spans="2:3" ht="13.5" customHeight="1" x14ac:dyDescent="0.3">
      <c r="B81" s="7"/>
      <c r="C81" s="8"/>
    </row>
    <row r="82" spans="2:3" ht="13.5" customHeight="1" x14ac:dyDescent="0.3">
      <c r="B82" s="7"/>
      <c r="C82" s="8"/>
    </row>
    <row r="83" spans="2:3" ht="13.5" customHeight="1" x14ac:dyDescent="0.3">
      <c r="B83" s="7"/>
      <c r="C83" s="8"/>
    </row>
    <row r="84" spans="2:3" ht="13.5" customHeight="1" x14ac:dyDescent="0.3">
      <c r="B84" s="7"/>
      <c r="C84" s="8"/>
    </row>
    <row r="85" spans="2:3" ht="13.5" customHeight="1" x14ac:dyDescent="0.3">
      <c r="B85" s="7"/>
      <c r="C85" s="8"/>
    </row>
    <row r="86" spans="2:3" ht="13.5" customHeight="1" x14ac:dyDescent="0.3">
      <c r="B86" s="7"/>
      <c r="C86" s="8"/>
    </row>
    <row r="87" spans="2:3" ht="13.5" customHeight="1" x14ac:dyDescent="0.3">
      <c r="B87" s="7"/>
      <c r="C87" s="8"/>
    </row>
    <row r="88" spans="2:3" ht="13.5" customHeight="1" x14ac:dyDescent="0.3">
      <c r="B88" s="7"/>
      <c r="C88" s="8"/>
    </row>
    <row r="89" spans="2:3" ht="13.5" customHeight="1" x14ac:dyDescent="0.3">
      <c r="B89" s="7"/>
      <c r="C89" s="8"/>
    </row>
    <row r="90" spans="2:3" ht="13.5" customHeight="1" x14ac:dyDescent="0.3">
      <c r="B90" s="7"/>
      <c r="C90" s="8"/>
    </row>
    <row r="91" spans="2:3" ht="13.5" customHeight="1" x14ac:dyDescent="0.3">
      <c r="B91" s="7"/>
      <c r="C91" s="8"/>
    </row>
    <row r="92" spans="2:3" ht="13.5" customHeight="1" x14ac:dyDescent="0.3">
      <c r="B92" s="7"/>
      <c r="C92" s="8"/>
    </row>
    <row r="93" spans="2:3" ht="13.5" customHeight="1" x14ac:dyDescent="0.3">
      <c r="B93" s="7"/>
      <c r="C93" s="8"/>
    </row>
    <row r="94" spans="2:3" ht="13.5" customHeight="1" x14ac:dyDescent="0.3">
      <c r="B94" s="7"/>
      <c r="C94" s="8"/>
    </row>
    <row r="95" spans="2:3" ht="13.5" customHeight="1" x14ac:dyDescent="0.3">
      <c r="B95" s="7"/>
      <c r="C95" s="8"/>
    </row>
    <row r="96" spans="2:3" ht="13.5" customHeight="1" x14ac:dyDescent="0.3">
      <c r="B96" s="7"/>
      <c r="C96" s="8"/>
    </row>
    <row r="97" spans="2:3" ht="13.5" customHeight="1" x14ac:dyDescent="0.3">
      <c r="B97" s="7"/>
      <c r="C97" s="8"/>
    </row>
    <row r="98" spans="2:3" ht="13.5" customHeight="1" x14ac:dyDescent="0.3">
      <c r="B98" s="7"/>
      <c r="C98" s="8"/>
    </row>
    <row r="99" spans="2:3" ht="13.5" customHeight="1" x14ac:dyDescent="0.3">
      <c r="B99" s="7"/>
      <c r="C99" s="8"/>
    </row>
    <row r="100" spans="2:3" ht="13.5" customHeight="1" x14ac:dyDescent="0.3">
      <c r="B100" s="7"/>
      <c r="C100" s="8"/>
    </row>
    <row r="101" spans="2:3" ht="13.5" customHeight="1" x14ac:dyDescent="0.3">
      <c r="B101" s="7"/>
      <c r="C101" s="8"/>
    </row>
    <row r="102" spans="2:3" ht="13.5" customHeight="1" x14ac:dyDescent="0.3">
      <c r="B102" s="7"/>
      <c r="C102" s="8"/>
    </row>
    <row r="103" spans="2:3" ht="13.5" customHeight="1" x14ac:dyDescent="0.3">
      <c r="B103" s="7"/>
      <c r="C103" s="8"/>
    </row>
    <row r="104" spans="2:3" ht="13.5" customHeight="1" x14ac:dyDescent="0.3">
      <c r="B104" s="7"/>
      <c r="C104" s="8"/>
    </row>
    <row r="105" spans="2:3" ht="13.5" customHeight="1" x14ac:dyDescent="0.3">
      <c r="B105" s="7"/>
      <c r="C105" s="8"/>
    </row>
    <row r="106" spans="2:3" ht="13.5" customHeight="1" x14ac:dyDescent="0.3">
      <c r="B106" s="7"/>
      <c r="C106" s="8"/>
    </row>
    <row r="107" spans="2:3" ht="13.5" customHeight="1" x14ac:dyDescent="0.3">
      <c r="B107" s="7"/>
      <c r="C107" s="8"/>
    </row>
    <row r="108" spans="2:3" ht="13.5" customHeight="1" x14ac:dyDescent="0.3">
      <c r="B108" s="7"/>
      <c r="C108" s="8"/>
    </row>
    <row r="109" spans="2:3" ht="13.5" customHeight="1" x14ac:dyDescent="0.3">
      <c r="B109" s="7"/>
      <c r="C109" s="8"/>
    </row>
    <row r="110" spans="2:3" ht="13.5" customHeight="1" x14ac:dyDescent="0.3">
      <c r="B110" s="7"/>
      <c r="C110" s="8"/>
    </row>
    <row r="111" spans="2:3" ht="13.5" customHeight="1" x14ac:dyDescent="0.3">
      <c r="B111" s="7"/>
      <c r="C111" s="8"/>
    </row>
    <row r="112" spans="2:3" ht="13.5" customHeight="1" x14ac:dyDescent="0.3">
      <c r="B112" s="7"/>
      <c r="C112" s="8"/>
    </row>
    <row r="113" spans="2:3" ht="13.5" customHeight="1" x14ac:dyDescent="0.3">
      <c r="B113" s="7"/>
      <c r="C113" s="8"/>
    </row>
    <row r="114" spans="2:3" ht="13.5" customHeight="1" x14ac:dyDescent="0.3">
      <c r="B114" s="7"/>
      <c r="C114" s="8"/>
    </row>
    <row r="115" spans="2:3" ht="13.5" customHeight="1" x14ac:dyDescent="0.3">
      <c r="B115" s="7"/>
      <c r="C115" s="8"/>
    </row>
    <row r="116" spans="2:3" ht="13.5" customHeight="1" x14ac:dyDescent="0.3">
      <c r="B116" s="7"/>
      <c r="C116" s="8"/>
    </row>
    <row r="117" spans="2:3" ht="13.5" customHeight="1" x14ac:dyDescent="0.3">
      <c r="B117" s="7"/>
      <c r="C117" s="8"/>
    </row>
    <row r="118" spans="2:3" ht="13.5" customHeight="1" x14ac:dyDescent="0.3">
      <c r="B118" s="7"/>
      <c r="C118" s="8"/>
    </row>
    <row r="119" spans="2:3" ht="13.5" customHeight="1" x14ac:dyDescent="0.3">
      <c r="B119" s="7"/>
      <c r="C119" s="8"/>
    </row>
    <row r="120" spans="2:3" ht="13.5" customHeight="1" x14ac:dyDescent="0.3">
      <c r="B120" s="7"/>
      <c r="C120" s="8"/>
    </row>
    <row r="121" spans="2:3" ht="13.5" customHeight="1" x14ac:dyDescent="0.3">
      <c r="B121" s="7"/>
      <c r="C121" s="8"/>
    </row>
    <row r="122" spans="2:3" ht="13.5" customHeight="1" x14ac:dyDescent="0.3">
      <c r="B122" s="7"/>
      <c r="C122" s="8"/>
    </row>
    <row r="123" spans="2:3" ht="13.5" customHeight="1" x14ac:dyDescent="0.3">
      <c r="B123" s="7"/>
      <c r="C123" s="8"/>
    </row>
    <row r="124" spans="2:3" ht="13.5" customHeight="1" x14ac:dyDescent="0.3">
      <c r="B124" s="7"/>
      <c r="C124" s="8"/>
    </row>
    <row r="125" spans="2:3" ht="13.5" customHeight="1" x14ac:dyDescent="0.3">
      <c r="B125" s="7"/>
      <c r="C125" s="8"/>
    </row>
    <row r="126" spans="2:3" ht="13.5" customHeight="1" x14ac:dyDescent="0.3">
      <c r="B126" s="7"/>
      <c r="C126" s="8"/>
    </row>
    <row r="127" spans="2:3" ht="13.5" customHeight="1" x14ac:dyDescent="0.3">
      <c r="B127" s="7"/>
      <c r="C127" s="8"/>
    </row>
    <row r="128" spans="2:3" ht="13.5" customHeight="1" x14ac:dyDescent="0.3">
      <c r="B128" s="7"/>
      <c r="C128" s="8"/>
    </row>
    <row r="129" spans="2:3" ht="13.5" customHeight="1" x14ac:dyDescent="0.3">
      <c r="B129" s="7"/>
      <c r="C129" s="8"/>
    </row>
    <row r="130" spans="2:3" ht="13.5" customHeight="1" x14ac:dyDescent="0.3">
      <c r="B130" s="7"/>
      <c r="C130" s="8"/>
    </row>
    <row r="131" spans="2:3" ht="13.5" customHeight="1" x14ac:dyDescent="0.3">
      <c r="B131" s="7"/>
      <c r="C131" s="8"/>
    </row>
    <row r="132" spans="2:3" ht="13.5" customHeight="1" x14ac:dyDescent="0.3">
      <c r="B132" s="7"/>
      <c r="C132" s="8"/>
    </row>
    <row r="133" spans="2:3" ht="13.5" customHeight="1" x14ac:dyDescent="0.3">
      <c r="B133" s="7"/>
      <c r="C133" s="8"/>
    </row>
    <row r="134" spans="2:3" ht="13.5" customHeight="1" x14ac:dyDescent="0.3">
      <c r="B134" s="7"/>
      <c r="C134" s="8"/>
    </row>
    <row r="135" spans="2:3" ht="13.5" customHeight="1" x14ac:dyDescent="0.3">
      <c r="B135" s="7"/>
      <c r="C135" s="8"/>
    </row>
    <row r="136" spans="2:3" ht="13.5" customHeight="1" x14ac:dyDescent="0.3">
      <c r="B136" s="7"/>
      <c r="C136" s="8"/>
    </row>
    <row r="137" spans="2:3" ht="13.5" customHeight="1" x14ac:dyDescent="0.3">
      <c r="B137" s="7"/>
      <c r="C137" s="8"/>
    </row>
    <row r="138" spans="2:3" ht="13.5" customHeight="1" x14ac:dyDescent="0.3">
      <c r="B138" s="7"/>
      <c r="C138" s="8"/>
    </row>
    <row r="139" spans="2:3" ht="13.5" customHeight="1" x14ac:dyDescent="0.3">
      <c r="B139" s="7"/>
      <c r="C139" s="8"/>
    </row>
    <row r="140" spans="2:3" ht="13.5" customHeight="1" x14ac:dyDescent="0.3">
      <c r="B140" s="7"/>
      <c r="C140" s="8"/>
    </row>
    <row r="141" spans="2:3" ht="13.5" customHeight="1" x14ac:dyDescent="0.3">
      <c r="B141" s="7"/>
      <c r="C141" s="8"/>
    </row>
    <row r="142" spans="2:3" ht="13.5" customHeight="1" x14ac:dyDescent="0.3">
      <c r="B142" s="7"/>
      <c r="C142" s="8"/>
    </row>
    <row r="143" spans="2:3" ht="13.5" customHeight="1" x14ac:dyDescent="0.3">
      <c r="B143" s="7"/>
      <c r="C143" s="8"/>
    </row>
    <row r="144" spans="2:3" ht="13.5" customHeight="1" x14ac:dyDescent="0.3">
      <c r="B144" s="7"/>
      <c r="C144" s="8"/>
    </row>
    <row r="145" spans="2:3" ht="13.5" customHeight="1" x14ac:dyDescent="0.3">
      <c r="B145" s="7"/>
      <c r="C145" s="8"/>
    </row>
    <row r="146" spans="2:3" ht="13.5" customHeight="1" x14ac:dyDescent="0.3">
      <c r="B146" s="7"/>
      <c r="C146" s="8"/>
    </row>
    <row r="147" spans="2:3" ht="13.5" customHeight="1" x14ac:dyDescent="0.3">
      <c r="B147" s="7"/>
      <c r="C147" s="8"/>
    </row>
    <row r="148" spans="2:3" ht="13.5" customHeight="1" x14ac:dyDescent="0.3">
      <c r="B148" s="7"/>
      <c r="C148" s="8"/>
    </row>
    <row r="149" spans="2:3" ht="13.5" customHeight="1" x14ac:dyDescent="0.3">
      <c r="B149" s="7"/>
      <c r="C149" s="8"/>
    </row>
    <row r="150" spans="2:3" ht="13.5" customHeight="1" x14ac:dyDescent="0.3">
      <c r="B150" s="7"/>
      <c r="C150" s="8"/>
    </row>
    <row r="151" spans="2:3" ht="13.5" customHeight="1" x14ac:dyDescent="0.3">
      <c r="B151" s="7"/>
      <c r="C151" s="8"/>
    </row>
    <row r="152" spans="2:3" ht="13.5" customHeight="1" x14ac:dyDescent="0.3">
      <c r="B152" s="7"/>
      <c r="C152" s="8"/>
    </row>
    <row r="153" spans="2:3" ht="13.5" customHeight="1" x14ac:dyDescent="0.3">
      <c r="B153" s="7"/>
      <c r="C153" s="8"/>
    </row>
    <row r="154" spans="2:3" ht="13.5" customHeight="1" x14ac:dyDescent="0.3">
      <c r="B154" s="7"/>
      <c r="C154" s="8"/>
    </row>
    <row r="155" spans="2:3" ht="13.5" customHeight="1" x14ac:dyDescent="0.3">
      <c r="B155" s="7"/>
      <c r="C155" s="8"/>
    </row>
    <row r="156" spans="2:3" ht="13.5" customHeight="1" x14ac:dyDescent="0.3">
      <c r="B156" s="7"/>
      <c r="C156" s="8"/>
    </row>
    <row r="157" spans="2:3" ht="13.5" customHeight="1" x14ac:dyDescent="0.3">
      <c r="B157" s="7"/>
      <c r="C157" s="8"/>
    </row>
    <row r="158" spans="2:3" ht="13.5" customHeight="1" x14ac:dyDescent="0.3">
      <c r="B158" s="7"/>
      <c r="C158" s="8"/>
    </row>
    <row r="159" spans="2:3" ht="13.5" customHeight="1" x14ac:dyDescent="0.3">
      <c r="B159" s="7"/>
      <c r="C159" s="8"/>
    </row>
    <row r="160" spans="2:3" ht="13.5" customHeight="1" x14ac:dyDescent="0.3">
      <c r="B160" s="7"/>
      <c r="C160" s="8"/>
    </row>
    <row r="161" spans="2:3" ht="13.5" customHeight="1" x14ac:dyDescent="0.3">
      <c r="B161" s="7"/>
      <c r="C161" s="8"/>
    </row>
    <row r="162" spans="2:3" ht="13.5" customHeight="1" x14ac:dyDescent="0.3">
      <c r="B162" s="7"/>
      <c r="C162" s="8"/>
    </row>
    <row r="163" spans="2:3" ht="13.5" customHeight="1" x14ac:dyDescent="0.3">
      <c r="B163" s="7"/>
      <c r="C163" s="8"/>
    </row>
    <row r="164" spans="2:3" ht="13.5" customHeight="1" x14ac:dyDescent="0.3">
      <c r="B164" s="7"/>
      <c r="C164" s="8"/>
    </row>
    <row r="165" spans="2:3" ht="13.5" customHeight="1" x14ac:dyDescent="0.3">
      <c r="B165" s="7"/>
      <c r="C165" s="8"/>
    </row>
    <row r="166" spans="2:3" ht="13.5" customHeight="1" x14ac:dyDescent="0.3">
      <c r="B166" s="7"/>
      <c r="C166" s="8"/>
    </row>
    <row r="167" spans="2:3" ht="13.5" customHeight="1" x14ac:dyDescent="0.3">
      <c r="B167" s="7"/>
      <c r="C167" s="8"/>
    </row>
    <row r="168" spans="2:3" ht="13.5" customHeight="1" x14ac:dyDescent="0.3">
      <c r="B168" s="7"/>
      <c r="C168" s="8"/>
    </row>
    <row r="169" spans="2:3" ht="13.5" customHeight="1" x14ac:dyDescent="0.3">
      <c r="B169" s="7"/>
      <c r="C169" s="8"/>
    </row>
    <row r="170" spans="2:3" ht="13.5" customHeight="1" x14ac:dyDescent="0.3">
      <c r="B170" s="7"/>
      <c r="C170" s="8"/>
    </row>
    <row r="171" spans="2:3" ht="13.5" customHeight="1" x14ac:dyDescent="0.3">
      <c r="B171" s="7"/>
      <c r="C171" s="8"/>
    </row>
    <row r="172" spans="2:3" ht="13.5" customHeight="1" x14ac:dyDescent="0.3">
      <c r="B172" s="7"/>
      <c r="C172" s="8"/>
    </row>
    <row r="173" spans="2:3" ht="13.5" customHeight="1" x14ac:dyDescent="0.3">
      <c r="B173" s="7"/>
      <c r="C173" s="8"/>
    </row>
    <row r="174" spans="2:3" ht="13.5" customHeight="1" x14ac:dyDescent="0.3">
      <c r="B174" s="7"/>
      <c r="C174" s="8"/>
    </row>
    <row r="175" spans="2:3" ht="13.5" customHeight="1" x14ac:dyDescent="0.3">
      <c r="B175" s="7"/>
      <c r="C175" s="8"/>
    </row>
    <row r="176" spans="2:3" ht="13.5" customHeight="1" x14ac:dyDescent="0.3">
      <c r="B176" s="7"/>
      <c r="C176" s="8"/>
    </row>
    <row r="177" spans="2:3" ht="13.5" customHeight="1" x14ac:dyDescent="0.3">
      <c r="B177" s="7"/>
      <c r="C177" s="8"/>
    </row>
    <row r="178" spans="2:3" ht="13.5" customHeight="1" x14ac:dyDescent="0.3">
      <c r="B178" s="7"/>
      <c r="C178" s="8"/>
    </row>
    <row r="179" spans="2:3" ht="13.5" customHeight="1" x14ac:dyDescent="0.3">
      <c r="B179" s="7"/>
      <c r="C179" s="8"/>
    </row>
    <row r="180" spans="2:3" ht="13.5" customHeight="1" x14ac:dyDescent="0.3">
      <c r="B180" s="7"/>
      <c r="C180" s="8"/>
    </row>
    <row r="181" spans="2:3" ht="13.5" customHeight="1" x14ac:dyDescent="0.3">
      <c r="B181" s="7"/>
      <c r="C181" s="8"/>
    </row>
    <row r="182" spans="2:3" ht="13.5" customHeight="1" x14ac:dyDescent="0.3">
      <c r="B182" s="7"/>
      <c r="C182" s="8"/>
    </row>
    <row r="183" spans="2:3" ht="13.5" customHeight="1" x14ac:dyDescent="0.3">
      <c r="B183" s="7"/>
      <c r="C183" s="8"/>
    </row>
    <row r="184" spans="2:3" ht="13.5" customHeight="1" x14ac:dyDescent="0.3">
      <c r="B184" s="7"/>
      <c r="C184" s="8"/>
    </row>
    <row r="185" spans="2:3" ht="13.5" customHeight="1" x14ac:dyDescent="0.3">
      <c r="B185" s="7"/>
      <c r="C185" s="8"/>
    </row>
    <row r="186" spans="2:3" ht="13.5" customHeight="1" x14ac:dyDescent="0.3">
      <c r="B186" s="7"/>
      <c r="C186" s="8"/>
    </row>
    <row r="187" spans="2:3" ht="13.5" customHeight="1" x14ac:dyDescent="0.3">
      <c r="B187" s="7"/>
      <c r="C187" s="8"/>
    </row>
    <row r="188" spans="2:3" ht="13.5" customHeight="1" x14ac:dyDescent="0.3">
      <c r="B188" s="7"/>
      <c r="C188" s="8"/>
    </row>
    <row r="189" spans="2:3" ht="13.5" customHeight="1" x14ac:dyDescent="0.3">
      <c r="B189" s="7"/>
      <c r="C189" s="8"/>
    </row>
    <row r="190" spans="2:3" ht="13.5" customHeight="1" x14ac:dyDescent="0.3">
      <c r="B190" s="7"/>
      <c r="C190" s="8"/>
    </row>
    <row r="191" spans="2:3" ht="13.5" customHeight="1" x14ac:dyDescent="0.3">
      <c r="B191" s="7"/>
      <c r="C191" s="8"/>
    </row>
    <row r="192" spans="2:3" ht="13.5" customHeight="1" x14ac:dyDescent="0.3">
      <c r="B192" s="7"/>
      <c r="C192" s="8"/>
    </row>
    <row r="193" spans="2:3" ht="13.5" customHeight="1" x14ac:dyDescent="0.3">
      <c r="B193" s="7"/>
      <c r="C193" s="8"/>
    </row>
    <row r="194" spans="2:3" ht="13.5" customHeight="1" x14ac:dyDescent="0.3">
      <c r="B194" s="7"/>
      <c r="C194" s="8"/>
    </row>
    <row r="195" spans="2:3" ht="13.5" customHeight="1" x14ac:dyDescent="0.3">
      <c r="B195" s="7"/>
      <c r="C195" s="8"/>
    </row>
    <row r="196" spans="2:3" ht="13.5" customHeight="1" x14ac:dyDescent="0.3">
      <c r="B196" s="7"/>
      <c r="C196" s="8"/>
    </row>
    <row r="197" spans="2:3" ht="13.5" customHeight="1" x14ac:dyDescent="0.3">
      <c r="B197" s="7"/>
      <c r="C197" s="8"/>
    </row>
    <row r="198" spans="2:3" ht="13.5" customHeight="1" x14ac:dyDescent="0.3">
      <c r="B198" s="7"/>
      <c r="C198" s="8"/>
    </row>
    <row r="199" spans="2:3" ht="13.5" customHeight="1" x14ac:dyDescent="0.3">
      <c r="B199" s="7"/>
      <c r="C199" s="8"/>
    </row>
    <row r="200" spans="2:3" ht="13.5" customHeight="1" x14ac:dyDescent="0.3">
      <c r="B200" s="7"/>
      <c r="C200" s="8"/>
    </row>
    <row r="201" spans="2:3" ht="13.5" customHeight="1" x14ac:dyDescent="0.3">
      <c r="B201" s="7"/>
      <c r="C201" s="8"/>
    </row>
    <row r="202" spans="2:3" ht="13.5" customHeight="1" x14ac:dyDescent="0.3">
      <c r="B202" s="7"/>
      <c r="C202" s="8"/>
    </row>
    <row r="203" spans="2:3" ht="13.5" customHeight="1" x14ac:dyDescent="0.3">
      <c r="B203" s="7"/>
      <c r="C203" s="8"/>
    </row>
    <row r="204" spans="2:3" ht="13.5" customHeight="1" x14ac:dyDescent="0.3">
      <c r="B204" s="7"/>
      <c r="C204" s="8"/>
    </row>
    <row r="205" spans="2:3" ht="13.5" customHeight="1" x14ac:dyDescent="0.3">
      <c r="B205" s="7"/>
      <c r="C205" s="8"/>
    </row>
    <row r="206" spans="2:3" ht="13.5" customHeight="1" x14ac:dyDescent="0.3">
      <c r="B206" s="7"/>
      <c r="C206" s="8"/>
    </row>
    <row r="207" spans="2:3" ht="13.5" customHeight="1" x14ac:dyDescent="0.3">
      <c r="B207" s="7"/>
      <c r="C207" s="8"/>
    </row>
    <row r="208" spans="2:3" ht="13.5" customHeight="1" x14ac:dyDescent="0.3">
      <c r="B208" s="7"/>
      <c r="C208" s="8"/>
    </row>
    <row r="209" spans="2:3" ht="13.5" customHeight="1" x14ac:dyDescent="0.3">
      <c r="B209" s="7"/>
      <c r="C209" s="8"/>
    </row>
    <row r="210" spans="2:3" ht="13.5" customHeight="1" x14ac:dyDescent="0.3">
      <c r="B210" s="7"/>
      <c r="C210" s="8"/>
    </row>
    <row r="211" spans="2:3" ht="13.5" customHeight="1" x14ac:dyDescent="0.3">
      <c r="B211" s="7"/>
      <c r="C211" s="8"/>
    </row>
    <row r="212" spans="2:3" ht="13.5" customHeight="1" x14ac:dyDescent="0.3">
      <c r="B212" s="7"/>
      <c r="C212" s="8"/>
    </row>
    <row r="213" spans="2:3" ht="13.5" customHeight="1" x14ac:dyDescent="0.3">
      <c r="B213" s="7"/>
      <c r="C213" s="8"/>
    </row>
    <row r="214" spans="2:3" ht="13.5" customHeight="1" x14ac:dyDescent="0.3">
      <c r="B214" s="7"/>
      <c r="C214" s="8"/>
    </row>
    <row r="215" spans="2:3" ht="13.5" customHeight="1" x14ac:dyDescent="0.3">
      <c r="B215" s="7"/>
      <c r="C215" s="8"/>
    </row>
    <row r="216" spans="2:3" ht="13.5" customHeight="1" x14ac:dyDescent="0.3">
      <c r="B216" s="7"/>
      <c r="C216" s="8"/>
    </row>
    <row r="217" spans="2:3" ht="13.5" customHeight="1" x14ac:dyDescent="0.3">
      <c r="B217" s="7"/>
      <c r="C217" s="8"/>
    </row>
    <row r="218" spans="2:3" ht="13.5" customHeight="1" x14ac:dyDescent="0.3">
      <c r="B218" s="7"/>
      <c r="C218" s="8"/>
    </row>
    <row r="219" spans="2:3" ht="13.5" customHeight="1" x14ac:dyDescent="0.3">
      <c r="B219" s="7"/>
      <c r="C219" s="8"/>
    </row>
    <row r="220" spans="2:3" ht="13.5" customHeight="1" x14ac:dyDescent="0.3">
      <c r="B220" s="7"/>
      <c r="C220" s="8"/>
    </row>
    <row r="221" spans="2:3" ht="13.5" customHeight="1" x14ac:dyDescent="0.3">
      <c r="B221" s="7"/>
      <c r="C221" s="8"/>
    </row>
    <row r="222" spans="2:3" ht="13.5" customHeight="1" x14ac:dyDescent="0.3">
      <c r="B222" s="7"/>
      <c r="C222" s="8"/>
    </row>
    <row r="223" spans="2:3" ht="13.5" customHeight="1" x14ac:dyDescent="0.3">
      <c r="B223" s="7"/>
      <c r="C223" s="8"/>
    </row>
    <row r="224" spans="2:3" ht="13.5" customHeight="1" x14ac:dyDescent="0.3">
      <c r="B224" s="7"/>
      <c r="C224" s="8"/>
    </row>
    <row r="225" spans="2:3" ht="13.5" customHeight="1" x14ac:dyDescent="0.3">
      <c r="B225" s="7"/>
      <c r="C225" s="8"/>
    </row>
    <row r="226" spans="2:3" ht="13.5" customHeight="1" x14ac:dyDescent="0.3">
      <c r="B226" s="7"/>
      <c r="C226" s="8"/>
    </row>
    <row r="227" spans="2:3" ht="13.5" customHeight="1" x14ac:dyDescent="0.3">
      <c r="B227" s="7"/>
      <c r="C227" s="8"/>
    </row>
    <row r="228" spans="2:3" ht="13.5" customHeight="1" x14ac:dyDescent="0.3">
      <c r="B228" s="7"/>
      <c r="C228" s="8"/>
    </row>
    <row r="229" spans="2:3" ht="13.5" customHeight="1" x14ac:dyDescent="0.3">
      <c r="B229" s="7"/>
      <c r="C229" s="8"/>
    </row>
    <row r="230" spans="2:3" ht="13.5" customHeight="1" x14ac:dyDescent="0.3">
      <c r="B230" s="7"/>
      <c r="C230" s="8"/>
    </row>
    <row r="231" spans="2:3" ht="13.5" customHeight="1" x14ac:dyDescent="0.3">
      <c r="B231" s="7"/>
      <c r="C231" s="8"/>
    </row>
    <row r="232" spans="2:3" ht="13.5" customHeight="1" x14ac:dyDescent="0.3">
      <c r="B232" s="7"/>
      <c r="C232" s="8"/>
    </row>
    <row r="233" spans="2:3" ht="13.5" customHeight="1" x14ac:dyDescent="0.3">
      <c r="B233" s="7"/>
      <c r="C233" s="8"/>
    </row>
    <row r="234" spans="2:3" ht="13.5" customHeight="1" x14ac:dyDescent="0.3">
      <c r="B234" s="7"/>
      <c r="C234" s="8"/>
    </row>
    <row r="235" spans="2:3" ht="13.5" customHeight="1" x14ac:dyDescent="0.3">
      <c r="B235" s="7"/>
      <c r="C235" s="8"/>
    </row>
    <row r="236" spans="2:3" ht="13.5" customHeight="1" x14ac:dyDescent="0.3">
      <c r="B236" s="7"/>
      <c r="C236" s="8"/>
    </row>
    <row r="237" spans="2:3" ht="13.5" customHeight="1" x14ac:dyDescent="0.3">
      <c r="B237" s="7"/>
      <c r="C237" s="8"/>
    </row>
    <row r="238" spans="2:3" ht="13.5" customHeight="1" x14ac:dyDescent="0.3">
      <c r="B238" s="7"/>
      <c r="C238" s="8"/>
    </row>
    <row r="239" spans="2:3" ht="13.5" customHeight="1" x14ac:dyDescent="0.3">
      <c r="B239" s="7"/>
      <c r="C239" s="8"/>
    </row>
    <row r="240" spans="2:3" ht="13.5" customHeight="1" x14ac:dyDescent="0.3">
      <c r="B240" s="7"/>
      <c r="C240" s="8"/>
    </row>
    <row r="241" spans="2:3" ht="13.5" customHeight="1" x14ac:dyDescent="0.3">
      <c r="B241" s="7"/>
      <c r="C241" s="8"/>
    </row>
    <row r="242" spans="2:3" ht="13.5" customHeight="1" x14ac:dyDescent="0.3">
      <c r="B242" s="7"/>
      <c r="C242" s="8"/>
    </row>
    <row r="243" spans="2:3" ht="13.5" customHeight="1" x14ac:dyDescent="0.3">
      <c r="B243" s="7"/>
      <c r="C243" s="8"/>
    </row>
    <row r="244" spans="2:3" ht="13.5" customHeight="1" x14ac:dyDescent="0.3">
      <c r="B244" s="7"/>
      <c r="C244" s="8"/>
    </row>
    <row r="245" spans="2:3" ht="13.5" customHeight="1" x14ac:dyDescent="0.3">
      <c r="B245" s="7"/>
      <c r="C245" s="8"/>
    </row>
    <row r="246" spans="2:3" ht="13.5" customHeight="1" x14ac:dyDescent="0.3">
      <c r="B246" s="7"/>
      <c r="C246" s="8"/>
    </row>
    <row r="247" spans="2:3" ht="13.5" customHeight="1" x14ac:dyDescent="0.3">
      <c r="B247" s="7"/>
      <c r="C247" s="8"/>
    </row>
    <row r="248" spans="2:3" ht="13.5" customHeight="1" x14ac:dyDescent="0.3">
      <c r="B248" s="7"/>
      <c r="C248" s="8"/>
    </row>
    <row r="249" spans="2:3" ht="13.5" customHeight="1" x14ac:dyDescent="0.3">
      <c r="B249" s="7"/>
      <c r="C249" s="8"/>
    </row>
    <row r="250" spans="2:3" ht="13.5" customHeight="1" x14ac:dyDescent="0.3">
      <c r="B250" s="7"/>
      <c r="C250" s="8"/>
    </row>
    <row r="251" spans="2:3" ht="13.5" customHeight="1" x14ac:dyDescent="0.3">
      <c r="B251" s="7"/>
      <c r="C251" s="8"/>
    </row>
    <row r="252" spans="2:3" ht="13.5" customHeight="1" x14ac:dyDescent="0.3">
      <c r="B252" s="7"/>
      <c r="C252" s="8"/>
    </row>
    <row r="253" spans="2:3" ht="13.5" customHeight="1" x14ac:dyDescent="0.3">
      <c r="B253" s="7"/>
      <c r="C253" s="8"/>
    </row>
    <row r="254" spans="2:3" ht="13.5" customHeight="1" x14ac:dyDescent="0.3">
      <c r="B254" s="7"/>
      <c r="C254" s="8"/>
    </row>
    <row r="255" spans="2:3" ht="13.5" customHeight="1" x14ac:dyDescent="0.3">
      <c r="B255" s="7"/>
      <c r="C255" s="8"/>
    </row>
    <row r="256" spans="2:3" ht="13.5" customHeight="1" x14ac:dyDescent="0.3">
      <c r="B256" s="7"/>
      <c r="C256" s="8"/>
    </row>
    <row r="257" spans="2:3" ht="13.5" customHeight="1" x14ac:dyDescent="0.3">
      <c r="B257" s="7"/>
      <c r="C257" s="8"/>
    </row>
    <row r="258" spans="2:3" ht="13.5" customHeight="1" x14ac:dyDescent="0.3">
      <c r="B258" s="7"/>
      <c r="C258" s="8"/>
    </row>
    <row r="259" spans="2:3" ht="13.5" customHeight="1" x14ac:dyDescent="0.3">
      <c r="B259" s="7"/>
      <c r="C259" s="8"/>
    </row>
    <row r="260" spans="2:3" ht="13.5" customHeight="1" x14ac:dyDescent="0.3">
      <c r="B260" s="7"/>
      <c r="C260" s="8"/>
    </row>
    <row r="261" spans="2:3" ht="13.5" customHeight="1" x14ac:dyDescent="0.3">
      <c r="B261" s="7"/>
      <c r="C261" s="8"/>
    </row>
    <row r="262" spans="2:3" ht="13.5" customHeight="1" x14ac:dyDescent="0.3">
      <c r="B262" s="7"/>
      <c r="C262" s="8"/>
    </row>
    <row r="263" spans="2:3" ht="13.5" customHeight="1" x14ac:dyDescent="0.3">
      <c r="B263" s="7"/>
      <c r="C263" s="8"/>
    </row>
    <row r="264" spans="2:3" ht="13.5" customHeight="1" x14ac:dyDescent="0.3">
      <c r="B264" s="7"/>
      <c r="C264" s="8"/>
    </row>
    <row r="265" spans="2:3" ht="13.5" customHeight="1" x14ac:dyDescent="0.3">
      <c r="B265" s="7"/>
      <c r="C265" s="8"/>
    </row>
    <row r="266" spans="2:3" ht="13.5" customHeight="1" x14ac:dyDescent="0.3">
      <c r="B266" s="7"/>
      <c r="C266" s="8"/>
    </row>
    <row r="267" spans="2:3" ht="13.5" customHeight="1" x14ac:dyDescent="0.3">
      <c r="B267" s="7"/>
      <c r="C267" s="8"/>
    </row>
    <row r="268" spans="2:3" ht="13.5" customHeight="1" x14ac:dyDescent="0.3">
      <c r="B268" s="7"/>
      <c r="C268" s="8"/>
    </row>
    <row r="269" spans="2:3" ht="13.5" customHeight="1" x14ac:dyDescent="0.3">
      <c r="B269" s="7"/>
      <c r="C269" s="8"/>
    </row>
    <row r="270" spans="2:3" ht="13.5" customHeight="1" x14ac:dyDescent="0.3">
      <c r="B270" s="7"/>
      <c r="C270" s="8"/>
    </row>
    <row r="271" spans="2:3" ht="13.5" customHeight="1" x14ac:dyDescent="0.3">
      <c r="B271" s="7"/>
      <c r="C271" s="8"/>
    </row>
    <row r="272" spans="2:3" ht="13.5" customHeight="1" x14ac:dyDescent="0.3">
      <c r="B272" s="7"/>
      <c r="C272" s="8"/>
    </row>
    <row r="273" spans="2:3" ht="13.5" customHeight="1" x14ac:dyDescent="0.3">
      <c r="B273" s="7"/>
      <c r="C273" s="8"/>
    </row>
    <row r="274" spans="2:3" ht="13.5" customHeight="1" x14ac:dyDescent="0.3">
      <c r="B274" s="7"/>
      <c r="C274" s="8"/>
    </row>
    <row r="275" spans="2:3" ht="13.5" customHeight="1" x14ac:dyDescent="0.3">
      <c r="B275" s="7"/>
      <c r="C275" s="8"/>
    </row>
    <row r="276" spans="2:3" ht="13.5" customHeight="1" x14ac:dyDescent="0.3">
      <c r="B276" s="7"/>
      <c r="C276" s="8"/>
    </row>
    <row r="277" spans="2:3" ht="13.5" customHeight="1" x14ac:dyDescent="0.3">
      <c r="B277" s="7"/>
      <c r="C277" s="8"/>
    </row>
    <row r="278" spans="2:3" ht="13.5" customHeight="1" x14ac:dyDescent="0.3">
      <c r="B278" s="7"/>
      <c r="C278" s="8"/>
    </row>
    <row r="279" spans="2:3" ht="13.5" customHeight="1" x14ac:dyDescent="0.3">
      <c r="B279" s="7"/>
      <c r="C279" s="8"/>
    </row>
    <row r="280" spans="2:3" ht="13.5" customHeight="1" x14ac:dyDescent="0.3">
      <c r="B280" s="7"/>
      <c r="C280" s="8"/>
    </row>
    <row r="281" spans="2:3" ht="13.5" customHeight="1" x14ac:dyDescent="0.3">
      <c r="B281" s="7"/>
      <c r="C281" s="8"/>
    </row>
    <row r="282" spans="2:3" ht="13.5" customHeight="1" x14ac:dyDescent="0.3">
      <c r="B282" s="7"/>
      <c r="C282" s="8"/>
    </row>
    <row r="283" spans="2:3" ht="13.5" customHeight="1" x14ac:dyDescent="0.3">
      <c r="B283" s="7"/>
      <c r="C283" s="8"/>
    </row>
    <row r="284" spans="2:3" ht="13.5" customHeight="1" x14ac:dyDescent="0.3">
      <c r="B284" s="7"/>
      <c r="C284" s="8"/>
    </row>
    <row r="285" spans="2:3" ht="13.5" customHeight="1" x14ac:dyDescent="0.3">
      <c r="B285" s="7"/>
      <c r="C285" s="8"/>
    </row>
    <row r="286" spans="2:3" ht="13.5" customHeight="1" x14ac:dyDescent="0.3">
      <c r="B286" s="7"/>
      <c r="C286" s="8"/>
    </row>
    <row r="287" spans="2:3" ht="13.5" customHeight="1" x14ac:dyDescent="0.3">
      <c r="B287" s="7"/>
      <c r="C287" s="8"/>
    </row>
    <row r="288" spans="2:3" ht="13.5" customHeight="1" x14ac:dyDescent="0.3">
      <c r="B288" s="7"/>
      <c r="C288" s="8"/>
    </row>
    <row r="289" spans="2:3" ht="13.5" customHeight="1" x14ac:dyDescent="0.3">
      <c r="B289" s="7"/>
      <c r="C289" s="8"/>
    </row>
    <row r="290" spans="2:3" ht="13.5" customHeight="1" x14ac:dyDescent="0.3">
      <c r="B290" s="7"/>
      <c r="C290" s="8"/>
    </row>
    <row r="291" spans="2:3" ht="13.5" customHeight="1" x14ac:dyDescent="0.3">
      <c r="B291" s="7"/>
      <c r="C291" s="8"/>
    </row>
    <row r="292" spans="2:3" ht="13.5" customHeight="1" x14ac:dyDescent="0.3">
      <c r="B292" s="7"/>
      <c r="C292" s="8"/>
    </row>
    <row r="293" spans="2:3" ht="13.5" customHeight="1" x14ac:dyDescent="0.3">
      <c r="B293" s="7"/>
      <c r="C293" s="8"/>
    </row>
    <row r="294" spans="2:3" ht="13.5" customHeight="1" x14ac:dyDescent="0.3">
      <c r="B294" s="7"/>
      <c r="C294" s="8"/>
    </row>
    <row r="295" spans="2:3" ht="13.5" customHeight="1" x14ac:dyDescent="0.3">
      <c r="B295" s="7"/>
      <c r="C295" s="8"/>
    </row>
    <row r="296" spans="2:3" ht="13.5" customHeight="1" x14ac:dyDescent="0.3">
      <c r="B296" s="7"/>
      <c r="C296" s="8"/>
    </row>
    <row r="297" spans="2:3" ht="13.5" customHeight="1" x14ac:dyDescent="0.3">
      <c r="B297" s="7"/>
      <c r="C297" s="8"/>
    </row>
    <row r="298" spans="2:3" ht="13.5" customHeight="1" x14ac:dyDescent="0.3">
      <c r="B298" s="7"/>
      <c r="C298" s="8"/>
    </row>
    <row r="299" spans="2:3" ht="13.5" customHeight="1" x14ac:dyDescent="0.3">
      <c r="B299" s="7"/>
      <c r="C299" s="8"/>
    </row>
    <row r="300" spans="2:3" ht="13.5" customHeight="1" x14ac:dyDescent="0.3">
      <c r="B300" s="7"/>
      <c r="C300" s="8"/>
    </row>
    <row r="301" spans="2:3" ht="13.5" customHeight="1" x14ac:dyDescent="0.3">
      <c r="B301" s="7"/>
      <c r="C301" s="8"/>
    </row>
    <row r="302" spans="2:3" ht="13.5" customHeight="1" x14ac:dyDescent="0.3">
      <c r="B302" s="7"/>
      <c r="C302" s="8"/>
    </row>
    <row r="303" spans="2:3" ht="13.5" customHeight="1" x14ac:dyDescent="0.3">
      <c r="B303" s="7"/>
      <c r="C303" s="8"/>
    </row>
    <row r="304" spans="2:3" ht="13.5" customHeight="1" x14ac:dyDescent="0.3">
      <c r="B304" s="7"/>
      <c r="C304" s="8"/>
    </row>
    <row r="305" spans="2:3" ht="13.5" customHeight="1" x14ac:dyDescent="0.3">
      <c r="B305" s="7"/>
      <c r="C305" s="8"/>
    </row>
    <row r="306" spans="2:3" ht="13.5" customHeight="1" x14ac:dyDescent="0.3">
      <c r="B306" s="7"/>
      <c r="C306" s="8"/>
    </row>
    <row r="307" spans="2:3" ht="13.5" customHeight="1" x14ac:dyDescent="0.3">
      <c r="B307" s="7"/>
      <c r="C307" s="8"/>
    </row>
    <row r="308" spans="2:3" ht="13.5" customHeight="1" x14ac:dyDescent="0.3">
      <c r="B308" s="7"/>
      <c r="C308" s="8"/>
    </row>
    <row r="309" spans="2:3" ht="13.5" customHeight="1" x14ac:dyDescent="0.3">
      <c r="B309" s="7"/>
      <c r="C309" s="8"/>
    </row>
    <row r="310" spans="2:3" ht="13.5" customHeight="1" x14ac:dyDescent="0.3">
      <c r="B310" s="7"/>
      <c r="C310" s="8"/>
    </row>
    <row r="311" spans="2:3" ht="13.5" customHeight="1" x14ac:dyDescent="0.3">
      <c r="B311" s="7"/>
      <c r="C311" s="8"/>
    </row>
    <row r="312" spans="2:3" ht="13.5" customHeight="1" x14ac:dyDescent="0.3">
      <c r="B312" s="7"/>
      <c r="C312" s="8"/>
    </row>
    <row r="313" spans="2:3" ht="13.5" customHeight="1" x14ac:dyDescent="0.3">
      <c r="B313" s="7"/>
      <c r="C313" s="8"/>
    </row>
    <row r="314" spans="2:3" ht="13.5" customHeight="1" x14ac:dyDescent="0.3">
      <c r="B314" s="7"/>
      <c r="C314" s="8"/>
    </row>
    <row r="315" spans="2:3" ht="13.5" customHeight="1" x14ac:dyDescent="0.3">
      <c r="B315" s="7"/>
      <c r="C315" s="8"/>
    </row>
    <row r="316" spans="2:3" ht="13.5" customHeight="1" x14ac:dyDescent="0.3">
      <c r="B316" s="7"/>
      <c r="C316" s="8"/>
    </row>
    <row r="317" spans="2:3" ht="13.5" customHeight="1" x14ac:dyDescent="0.3">
      <c r="B317" s="7"/>
      <c r="C317" s="8"/>
    </row>
    <row r="318" spans="2:3" ht="13.5" customHeight="1" x14ac:dyDescent="0.3">
      <c r="B318" s="7"/>
      <c r="C318" s="8"/>
    </row>
    <row r="319" spans="2:3" ht="13.5" customHeight="1" x14ac:dyDescent="0.3">
      <c r="B319" s="7"/>
      <c r="C319" s="8"/>
    </row>
    <row r="320" spans="2:3" ht="13.5" customHeight="1" x14ac:dyDescent="0.3">
      <c r="B320" s="7"/>
      <c r="C320" s="8"/>
    </row>
    <row r="321" spans="2:3" ht="13.5" customHeight="1" x14ac:dyDescent="0.3">
      <c r="B321" s="7"/>
      <c r="C321" s="8"/>
    </row>
    <row r="322" spans="2:3" ht="13.5" customHeight="1" x14ac:dyDescent="0.3">
      <c r="B322" s="7"/>
      <c r="C322" s="8"/>
    </row>
    <row r="323" spans="2:3" ht="13.5" customHeight="1" x14ac:dyDescent="0.3">
      <c r="B323" s="7"/>
      <c r="C323" s="8"/>
    </row>
    <row r="324" spans="2:3" ht="13.5" customHeight="1" x14ac:dyDescent="0.3">
      <c r="B324" s="7"/>
      <c r="C324" s="8"/>
    </row>
    <row r="325" spans="2:3" ht="13.5" customHeight="1" x14ac:dyDescent="0.3">
      <c r="B325" s="7"/>
      <c r="C325" s="8"/>
    </row>
    <row r="326" spans="2:3" ht="13.5" customHeight="1" x14ac:dyDescent="0.3">
      <c r="B326" s="7"/>
      <c r="C326" s="8"/>
    </row>
    <row r="327" spans="2:3" ht="13.5" customHeight="1" x14ac:dyDescent="0.3">
      <c r="B327" s="7"/>
      <c r="C327" s="8"/>
    </row>
    <row r="328" spans="2:3" ht="13.5" customHeight="1" x14ac:dyDescent="0.3">
      <c r="B328" s="7"/>
      <c r="C328" s="8"/>
    </row>
    <row r="329" spans="2:3" ht="13.5" customHeight="1" x14ac:dyDescent="0.3">
      <c r="B329" s="7"/>
      <c r="C329" s="8"/>
    </row>
    <row r="330" spans="2:3" ht="13.5" customHeight="1" x14ac:dyDescent="0.3">
      <c r="B330" s="7"/>
      <c r="C330" s="8"/>
    </row>
    <row r="331" spans="2:3" ht="13.5" customHeight="1" x14ac:dyDescent="0.3">
      <c r="B331" s="7"/>
      <c r="C331" s="8"/>
    </row>
    <row r="332" spans="2:3" ht="13.5" customHeight="1" x14ac:dyDescent="0.3">
      <c r="B332" s="7"/>
      <c r="C332" s="8"/>
    </row>
    <row r="333" spans="2:3" ht="13.5" customHeight="1" x14ac:dyDescent="0.3">
      <c r="B333" s="7"/>
      <c r="C333" s="8"/>
    </row>
    <row r="334" spans="2:3" ht="13.5" customHeight="1" x14ac:dyDescent="0.3">
      <c r="B334" s="7"/>
      <c r="C334" s="8"/>
    </row>
    <row r="335" spans="2:3" ht="13.5" customHeight="1" x14ac:dyDescent="0.3">
      <c r="B335" s="7"/>
      <c r="C335" s="8"/>
    </row>
    <row r="336" spans="2:3" ht="13.5" customHeight="1" x14ac:dyDescent="0.3">
      <c r="B336" s="7"/>
      <c r="C336" s="8"/>
    </row>
    <row r="337" spans="2:3" ht="13.5" customHeight="1" x14ac:dyDescent="0.3">
      <c r="B337" s="7"/>
      <c r="C337" s="8"/>
    </row>
    <row r="338" spans="2:3" ht="13.5" customHeight="1" x14ac:dyDescent="0.3">
      <c r="B338" s="7"/>
      <c r="C338" s="8"/>
    </row>
    <row r="339" spans="2:3" ht="13.5" customHeight="1" x14ac:dyDescent="0.3">
      <c r="B339" s="7"/>
      <c r="C339" s="8"/>
    </row>
    <row r="340" spans="2:3" ht="13.5" customHeight="1" x14ac:dyDescent="0.3">
      <c r="B340" s="7"/>
      <c r="C340" s="8"/>
    </row>
    <row r="341" spans="2:3" ht="13.5" customHeight="1" x14ac:dyDescent="0.3">
      <c r="B341" s="7"/>
      <c r="C341" s="8"/>
    </row>
    <row r="342" spans="2:3" ht="13.5" customHeight="1" x14ac:dyDescent="0.3">
      <c r="B342" s="7"/>
      <c r="C342" s="8"/>
    </row>
    <row r="343" spans="2:3" ht="13.5" customHeight="1" x14ac:dyDescent="0.3">
      <c r="B343" s="7"/>
      <c r="C343" s="8"/>
    </row>
    <row r="344" spans="2:3" ht="13.5" customHeight="1" x14ac:dyDescent="0.3">
      <c r="B344" s="7"/>
      <c r="C344" s="8"/>
    </row>
    <row r="345" spans="2:3" ht="13.5" customHeight="1" x14ac:dyDescent="0.3">
      <c r="B345" s="7"/>
      <c r="C345" s="8"/>
    </row>
    <row r="346" spans="2:3" ht="13.5" customHeight="1" x14ac:dyDescent="0.3">
      <c r="B346" s="7"/>
      <c r="C346" s="8"/>
    </row>
    <row r="347" spans="2:3" ht="13.5" customHeight="1" x14ac:dyDescent="0.3">
      <c r="B347" s="7"/>
      <c r="C347" s="8"/>
    </row>
    <row r="348" spans="2:3" ht="13.5" customHeight="1" x14ac:dyDescent="0.3">
      <c r="B348" s="7"/>
      <c r="C348" s="8"/>
    </row>
    <row r="349" spans="2:3" ht="13.5" customHeight="1" x14ac:dyDescent="0.3">
      <c r="B349" s="7"/>
      <c r="C349" s="8"/>
    </row>
    <row r="350" spans="2:3" ht="13.5" customHeight="1" x14ac:dyDescent="0.3">
      <c r="B350" s="7"/>
      <c r="C350" s="8"/>
    </row>
    <row r="351" spans="2:3" ht="13.5" customHeight="1" x14ac:dyDescent="0.3">
      <c r="B351" s="7"/>
      <c r="C351" s="8"/>
    </row>
    <row r="352" spans="2:3" ht="13.5" customHeight="1" x14ac:dyDescent="0.3">
      <c r="B352" s="7"/>
      <c r="C352" s="8"/>
    </row>
    <row r="353" spans="2:3" ht="13.5" customHeight="1" x14ac:dyDescent="0.3">
      <c r="B353" s="7"/>
      <c r="C353" s="8"/>
    </row>
    <row r="354" spans="2:3" ht="13.5" customHeight="1" x14ac:dyDescent="0.3">
      <c r="B354" s="7"/>
      <c r="C354" s="8"/>
    </row>
    <row r="355" spans="2:3" ht="13.5" customHeight="1" x14ac:dyDescent="0.3">
      <c r="B355" s="7"/>
      <c r="C355" s="8"/>
    </row>
    <row r="356" spans="2:3" ht="13.5" customHeight="1" x14ac:dyDescent="0.3">
      <c r="B356" s="7"/>
      <c r="C356" s="8"/>
    </row>
    <row r="357" spans="2:3" ht="13.5" customHeight="1" x14ac:dyDescent="0.3">
      <c r="B357" s="7"/>
      <c r="C357" s="8"/>
    </row>
    <row r="358" spans="2:3" ht="13.5" customHeight="1" x14ac:dyDescent="0.3">
      <c r="B358" s="7"/>
      <c r="C358" s="8"/>
    </row>
    <row r="359" spans="2:3" ht="13.5" customHeight="1" x14ac:dyDescent="0.3">
      <c r="B359" s="7"/>
      <c r="C359" s="8"/>
    </row>
    <row r="360" spans="2:3" ht="13.5" customHeight="1" x14ac:dyDescent="0.3">
      <c r="B360" s="7"/>
      <c r="C360" s="8"/>
    </row>
    <row r="361" spans="2:3" ht="13.5" customHeight="1" x14ac:dyDescent="0.3">
      <c r="B361" s="7"/>
      <c r="C361" s="8"/>
    </row>
    <row r="362" spans="2:3" ht="13.5" customHeight="1" x14ac:dyDescent="0.3">
      <c r="B362" s="7"/>
      <c r="C362" s="8"/>
    </row>
    <row r="363" spans="2:3" ht="13.5" customHeight="1" x14ac:dyDescent="0.3">
      <c r="B363" s="7"/>
      <c r="C363" s="8"/>
    </row>
    <row r="364" spans="2:3" ht="13.5" customHeight="1" x14ac:dyDescent="0.3">
      <c r="B364" s="7"/>
      <c r="C364" s="8"/>
    </row>
    <row r="365" spans="2:3" ht="13.5" customHeight="1" x14ac:dyDescent="0.3">
      <c r="B365" s="7"/>
      <c r="C365" s="8"/>
    </row>
    <row r="366" spans="2:3" ht="13.5" customHeight="1" x14ac:dyDescent="0.3">
      <c r="B366" s="7"/>
      <c r="C366" s="8"/>
    </row>
    <row r="367" spans="2:3" ht="13.5" customHeight="1" x14ac:dyDescent="0.3">
      <c r="B367" s="7"/>
      <c r="C367" s="8"/>
    </row>
    <row r="368" spans="2:3" ht="13.5" customHeight="1" x14ac:dyDescent="0.3">
      <c r="B368" s="7"/>
      <c r="C368" s="8"/>
    </row>
    <row r="369" spans="2:3" ht="13.5" customHeight="1" x14ac:dyDescent="0.3">
      <c r="B369" s="7"/>
      <c r="C369" s="8"/>
    </row>
    <row r="370" spans="2:3" ht="13.5" customHeight="1" x14ac:dyDescent="0.3">
      <c r="B370" s="7"/>
      <c r="C370" s="8"/>
    </row>
    <row r="371" spans="2:3" ht="13.5" customHeight="1" x14ac:dyDescent="0.3">
      <c r="B371" s="7"/>
      <c r="C371" s="8"/>
    </row>
    <row r="372" spans="2:3" ht="13.5" customHeight="1" x14ac:dyDescent="0.3">
      <c r="B372" s="7"/>
      <c r="C372" s="8"/>
    </row>
    <row r="373" spans="2:3" ht="13.5" customHeight="1" x14ac:dyDescent="0.3">
      <c r="B373" s="7"/>
      <c r="C373" s="8"/>
    </row>
    <row r="374" spans="2:3" ht="13.5" customHeight="1" x14ac:dyDescent="0.3">
      <c r="B374" s="7"/>
      <c r="C374" s="8"/>
    </row>
    <row r="375" spans="2:3" ht="13.5" customHeight="1" x14ac:dyDescent="0.3">
      <c r="B375" s="7"/>
      <c r="C375" s="8"/>
    </row>
    <row r="376" spans="2:3" ht="13.5" customHeight="1" x14ac:dyDescent="0.3">
      <c r="B376" s="7"/>
      <c r="C376" s="8"/>
    </row>
    <row r="377" spans="2:3" ht="13.5" customHeight="1" x14ac:dyDescent="0.3">
      <c r="B377" s="7"/>
      <c r="C377" s="8"/>
    </row>
    <row r="378" spans="2:3" ht="13.5" customHeight="1" x14ac:dyDescent="0.3">
      <c r="B378" s="7"/>
      <c r="C378" s="8"/>
    </row>
    <row r="379" spans="2:3" ht="13.5" customHeight="1" x14ac:dyDescent="0.3">
      <c r="B379" s="7"/>
      <c r="C379" s="8"/>
    </row>
    <row r="380" spans="2:3" ht="13.5" customHeight="1" x14ac:dyDescent="0.3">
      <c r="B380" s="7"/>
      <c r="C380" s="8"/>
    </row>
    <row r="381" spans="2:3" ht="13.5" customHeight="1" x14ac:dyDescent="0.3">
      <c r="B381" s="7"/>
      <c r="C381" s="8"/>
    </row>
    <row r="382" spans="2:3" ht="13.5" customHeight="1" x14ac:dyDescent="0.3">
      <c r="B382" s="7"/>
      <c r="C382" s="8"/>
    </row>
    <row r="383" spans="2:3" ht="13.5" customHeight="1" x14ac:dyDescent="0.3">
      <c r="B383" s="7"/>
      <c r="C383" s="8"/>
    </row>
    <row r="384" spans="2:3" ht="13.5" customHeight="1" x14ac:dyDescent="0.3">
      <c r="B384" s="7"/>
      <c r="C384" s="8"/>
    </row>
    <row r="385" spans="2:3" ht="13.5" customHeight="1" x14ac:dyDescent="0.3">
      <c r="B385" s="7"/>
      <c r="C385" s="8"/>
    </row>
    <row r="386" spans="2:3" ht="13.5" customHeight="1" x14ac:dyDescent="0.3">
      <c r="B386" s="7"/>
      <c r="C386" s="8"/>
    </row>
    <row r="387" spans="2:3" ht="13.5" customHeight="1" x14ac:dyDescent="0.3">
      <c r="B387" s="7"/>
      <c r="C387" s="8"/>
    </row>
    <row r="388" spans="2:3" ht="13.5" customHeight="1" x14ac:dyDescent="0.3">
      <c r="B388" s="7"/>
      <c r="C388" s="8"/>
    </row>
    <row r="389" spans="2:3" ht="13.5" customHeight="1" x14ac:dyDescent="0.3">
      <c r="B389" s="7"/>
      <c r="C389" s="8"/>
    </row>
    <row r="390" spans="2:3" ht="13.5" customHeight="1" x14ac:dyDescent="0.3">
      <c r="B390" s="7"/>
      <c r="C390" s="8"/>
    </row>
    <row r="391" spans="2:3" ht="13.5" customHeight="1" x14ac:dyDescent="0.3">
      <c r="B391" s="7"/>
      <c r="C391" s="8"/>
    </row>
    <row r="392" spans="2:3" ht="13.5" customHeight="1" x14ac:dyDescent="0.3">
      <c r="B392" s="7"/>
      <c r="C392" s="8"/>
    </row>
    <row r="393" spans="2:3" ht="13.5" customHeight="1" x14ac:dyDescent="0.3">
      <c r="B393" s="7"/>
      <c r="C393" s="8"/>
    </row>
    <row r="394" spans="2:3" ht="13.5" customHeight="1" x14ac:dyDescent="0.3">
      <c r="B394" s="7"/>
      <c r="C394" s="8"/>
    </row>
    <row r="395" spans="2:3" ht="13.5" customHeight="1" x14ac:dyDescent="0.3">
      <c r="B395" s="7"/>
      <c r="C395" s="8"/>
    </row>
    <row r="396" spans="2:3" ht="13.5" customHeight="1" x14ac:dyDescent="0.3">
      <c r="B396" s="7"/>
      <c r="C396" s="8"/>
    </row>
    <row r="397" spans="2:3" ht="13.5" customHeight="1" x14ac:dyDescent="0.3">
      <c r="B397" s="7"/>
      <c r="C397" s="8"/>
    </row>
    <row r="398" spans="2:3" ht="13.5" customHeight="1" x14ac:dyDescent="0.3">
      <c r="B398" s="7"/>
      <c r="C398" s="8"/>
    </row>
    <row r="399" spans="2:3" ht="13.5" customHeight="1" x14ac:dyDescent="0.3">
      <c r="B399" s="7"/>
      <c r="C399" s="8"/>
    </row>
    <row r="400" spans="2:3" ht="13.5" customHeight="1" x14ac:dyDescent="0.3">
      <c r="B400" s="7"/>
      <c r="C400" s="8"/>
    </row>
    <row r="401" spans="2:3" ht="13.5" customHeight="1" x14ac:dyDescent="0.3">
      <c r="B401" s="7"/>
      <c r="C401" s="8"/>
    </row>
    <row r="402" spans="2:3" ht="13.5" customHeight="1" x14ac:dyDescent="0.3">
      <c r="B402" s="7"/>
      <c r="C402" s="8"/>
    </row>
    <row r="403" spans="2:3" ht="13.5" customHeight="1" x14ac:dyDescent="0.3">
      <c r="B403" s="7"/>
      <c r="C403" s="8"/>
    </row>
    <row r="404" spans="2:3" ht="13.5" customHeight="1" x14ac:dyDescent="0.3">
      <c r="B404" s="7"/>
      <c r="C404" s="8"/>
    </row>
    <row r="405" spans="2:3" ht="13.5" customHeight="1" x14ac:dyDescent="0.3">
      <c r="B405" s="7"/>
      <c r="C405" s="8"/>
    </row>
    <row r="406" spans="2:3" ht="13.5" customHeight="1" x14ac:dyDescent="0.3">
      <c r="B406" s="7"/>
      <c r="C406" s="8"/>
    </row>
    <row r="407" spans="2:3" ht="13.5" customHeight="1" x14ac:dyDescent="0.3">
      <c r="B407" s="7"/>
      <c r="C407" s="8"/>
    </row>
    <row r="408" spans="2:3" ht="13.5" customHeight="1" x14ac:dyDescent="0.3">
      <c r="B408" s="7"/>
      <c r="C408" s="8"/>
    </row>
    <row r="409" spans="2:3" ht="13.5" customHeight="1" x14ac:dyDescent="0.3">
      <c r="B409" s="7"/>
      <c r="C409" s="8"/>
    </row>
    <row r="410" spans="2:3" ht="13.5" customHeight="1" x14ac:dyDescent="0.3">
      <c r="B410" s="7"/>
      <c r="C410" s="8"/>
    </row>
    <row r="411" spans="2:3" ht="13.5" customHeight="1" x14ac:dyDescent="0.3">
      <c r="B411" s="7"/>
      <c r="C411" s="8"/>
    </row>
    <row r="412" spans="2:3" ht="13.5" customHeight="1" x14ac:dyDescent="0.3">
      <c r="B412" s="7"/>
      <c r="C412" s="8"/>
    </row>
    <row r="413" spans="2:3" ht="13.5" customHeight="1" x14ac:dyDescent="0.3">
      <c r="B413" s="7"/>
      <c r="C413" s="8"/>
    </row>
    <row r="414" spans="2:3" ht="13.5" customHeight="1" x14ac:dyDescent="0.3">
      <c r="B414" s="7"/>
      <c r="C414" s="8"/>
    </row>
    <row r="415" spans="2:3" ht="13.5" customHeight="1" x14ac:dyDescent="0.3">
      <c r="B415" s="7"/>
      <c r="C415" s="8"/>
    </row>
    <row r="416" spans="2:3" ht="13.5" customHeight="1" x14ac:dyDescent="0.3">
      <c r="B416" s="7"/>
      <c r="C416" s="8"/>
    </row>
    <row r="417" spans="2:3" ht="13.5" customHeight="1" x14ac:dyDescent="0.3">
      <c r="B417" s="7"/>
      <c r="C417" s="8"/>
    </row>
    <row r="418" spans="2:3" ht="13.5" customHeight="1" x14ac:dyDescent="0.3">
      <c r="B418" s="7"/>
      <c r="C418" s="8"/>
    </row>
    <row r="419" spans="2:3" ht="13.5" customHeight="1" x14ac:dyDescent="0.3">
      <c r="B419" s="7"/>
      <c r="C419" s="8"/>
    </row>
    <row r="420" spans="2:3" ht="13.5" customHeight="1" x14ac:dyDescent="0.3">
      <c r="B420" s="7"/>
      <c r="C420" s="8"/>
    </row>
    <row r="421" spans="2:3" ht="13.5" customHeight="1" x14ac:dyDescent="0.3">
      <c r="B421" s="7"/>
      <c r="C421" s="8"/>
    </row>
    <row r="422" spans="2:3" ht="13.5" customHeight="1" x14ac:dyDescent="0.3">
      <c r="B422" s="7"/>
      <c r="C422" s="8"/>
    </row>
    <row r="423" spans="2:3" ht="13.5" customHeight="1" x14ac:dyDescent="0.3">
      <c r="B423" s="7"/>
      <c r="C423" s="8"/>
    </row>
    <row r="424" spans="2:3" ht="13.5" customHeight="1" x14ac:dyDescent="0.3">
      <c r="B424" s="7"/>
      <c r="C424" s="8"/>
    </row>
    <row r="425" spans="2:3" ht="13.5" customHeight="1" x14ac:dyDescent="0.3">
      <c r="B425" s="7"/>
      <c r="C425" s="8"/>
    </row>
    <row r="426" spans="2:3" ht="13.5" customHeight="1" x14ac:dyDescent="0.3">
      <c r="B426" s="7"/>
      <c r="C426" s="8"/>
    </row>
    <row r="427" spans="2:3" ht="13.5" customHeight="1" x14ac:dyDescent="0.3">
      <c r="B427" s="7"/>
      <c r="C427" s="8"/>
    </row>
    <row r="428" spans="2:3" ht="13.5" customHeight="1" x14ac:dyDescent="0.3">
      <c r="B428" s="7"/>
      <c r="C428" s="8"/>
    </row>
    <row r="429" spans="2:3" ht="13.5" customHeight="1" x14ac:dyDescent="0.3">
      <c r="B429" s="7"/>
      <c r="C429" s="8"/>
    </row>
    <row r="430" spans="2:3" ht="13.5" customHeight="1" x14ac:dyDescent="0.3">
      <c r="B430" s="7"/>
      <c r="C430" s="8"/>
    </row>
    <row r="431" spans="2:3" ht="13.5" customHeight="1" x14ac:dyDescent="0.3">
      <c r="B431" s="7"/>
      <c r="C431" s="8"/>
    </row>
    <row r="432" spans="2:3" ht="13.5" customHeight="1" x14ac:dyDescent="0.3">
      <c r="B432" s="7"/>
      <c r="C432" s="8"/>
    </row>
    <row r="433" spans="2:3" ht="13.5" customHeight="1" x14ac:dyDescent="0.3">
      <c r="B433" s="7"/>
      <c r="C433" s="8"/>
    </row>
    <row r="434" spans="2:3" ht="13.5" customHeight="1" x14ac:dyDescent="0.3">
      <c r="B434" s="7"/>
      <c r="C434" s="8"/>
    </row>
    <row r="435" spans="2:3" ht="13.5" customHeight="1" x14ac:dyDescent="0.3">
      <c r="B435" s="7"/>
      <c r="C435" s="8"/>
    </row>
    <row r="436" spans="2:3" ht="13.5" customHeight="1" x14ac:dyDescent="0.3">
      <c r="B436" s="7"/>
      <c r="C436" s="8"/>
    </row>
    <row r="437" spans="2:3" ht="13.5" customHeight="1" x14ac:dyDescent="0.3">
      <c r="B437" s="7"/>
      <c r="C437" s="8"/>
    </row>
    <row r="438" spans="2:3" ht="13.5" customHeight="1" x14ac:dyDescent="0.3">
      <c r="B438" s="7"/>
      <c r="C438" s="8"/>
    </row>
    <row r="439" spans="2:3" ht="13.5" customHeight="1" x14ac:dyDescent="0.3">
      <c r="B439" s="7"/>
      <c r="C439" s="8"/>
    </row>
    <row r="440" spans="2:3" ht="13.5" customHeight="1" x14ac:dyDescent="0.3">
      <c r="B440" s="7"/>
      <c r="C440" s="8"/>
    </row>
    <row r="441" spans="2:3" ht="13.5" customHeight="1" x14ac:dyDescent="0.3">
      <c r="B441" s="7"/>
      <c r="C441" s="8"/>
    </row>
    <row r="442" spans="2:3" ht="13.5" customHeight="1" x14ac:dyDescent="0.3">
      <c r="B442" s="7"/>
      <c r="C442" s="8"/>
    </row>
    <row r="443" spans="2:3" ht="13.5" customHeight="1" x14ac:dyDescent="0.3">
      <c r="B443" s="7"/>
      <c r="C443" s="8"/>
    </row>
    <row r="444" spans="2:3" ht="13.5" customHeight="1" x14ac:dyDescent="0.3">
      <c r="B444" s="7"/>
      <c r="C444" s="8"/>
    </row>
    <row r="445" spans="2:3" ht="13.5" customHeight="1" x14ac:dyDescent="0.3">
      <c r="B445" s="7"/>
      <c r="C445" s="8"/>
    </row>
    <row r="446" spans="2:3" ht="13.5" customHeight="1" x14ac:dyDescent="0.3">
      <c r="B446" s="7"/>
      <c r="C446" s="8"/>
    </row>
    <row r="447" spans="2:3" ht="13.5" customHeight="1" x14ac:dyDescent="0.3">
      <c r="B447" s="7"/>
      <c r="C447" s="8"/>
    </row>
    <row r="448" spans="2:3" ht="13.5" customHeight="1" x14ac:dyDescent="0.3">
      <c r="B448" s="7"/>
      <c r="C448" s="8"/>
    </row>
    <row r="449" spans="2:3" ht="13.5" customHeight="1" x14ac:dyDescent="0.3">
      <c r="B449" s="7"/>
      <c r="C449" s="8"/>
    </row>
    <row r="450" spans="2:3" ht="13.5" customHeight="1" x14ac:dyDescent="0.3">
      <c r="B450" s="7"/>
      <c r="C450" s="8"/>
    </row>
    <row r="451" spans="2:3" ht="13.5" customHeight="1" x14ac:dyDescent="0.3">
      <c r="B451" s="7"/>
      <c r="C451" s="8"/>
    </row>
    <row r="452" spans="2:3" ht="13.5" customHeight="1" x14ac:dyDescent="0.3">
      <c r="B452" s="7"/>
      <c r="C452" s="8"/>
    </row>
    <row r="453" spans="2:3" ht="13.5" customHeight="1" x14ac:dyDescent="0.3">
      <c r="B453" s="7"/>
      <c r="C453" s="8"/>
    </row>
    <row r="454" spans="2:3" ht="13.5" customHeight="1" x14ac:dyDescent="0.3">
      <c r="B454" s="7"/>
      <c r="C454" s="8"/>
    </row>
    <row r="455" spans="2:3" ht="13.5" customHeight="1" x14ac:dyDescent="0.3">
      <c r="B455" s="7"/>
      <c r="C455" s="8"/>
    </row>
    <row r="456" spans="2:3" ht="13.5" customHeight="1" x14ac:dyDescent="0.3">
      <c r="B456" s="7"/>
      <c r="C456" s="8"/>
    </row>
    <row r="457" spans="2:3" ht="13.5" customHeight="1" x14ac:dyDescent="0.3">
      <c r="B457" s="7"/>
      <c r="C457" s="8"/>
    </row>
    <row r="458" spans="2:3" ht="13.5" customHeight="1" x14ac:dyDescent="0.3">
      <c r="B458" s="7"/>
      <c r="C458" s="8"/>
    </row>
    <row r="459" spans="2:3" ht="13.5" customHeight="1" x14ac:dyDescent="0.3">
      <c r="B459" s="7"/>
      <c r="C459" s="8"/>
    </row>
    <row r="460" spans="2:3" ht="13.5" customHeight="1" x14ac:dyDescent="0.3">
      <c r="B460" s="7"/>
      <c r="C460" s="8"/>
    </row>
    <row r="461" spans="2:3" ht="13.5" customHeight="1" x14ac:dyDescent="0.3">
      <c r="B461" s="7"/>
      <c r="C461" s="8"/>
    </row>
    <row r="462" spans="2:3" ht="13.5" customHeight="1" x14ac:dyDescent="0.3">
      <c r="B462" s="7"/>
      <c r="C462" s="8"/>
    </row>
    <row r="463" spans="2:3" ht="13.5" customHeight="1" x14ac:dyDescent="0.3">
      <c r="B463" s="7"/>
      <c r="C463" s="8"/>
    </row>
    <row r="464" spans="2:3" ht="13.5" customHeight="1" x14ac:dyDescent="0.3">
      <c r="B464" s="7"/>
      <c r="C464" s="8"/>
    </row>
    <row r="465" spans="2:3" ht="13.5" customHeight="1" x14ac:dyDescent="0.3">
      <c r="B465" s="7"/>
      <c r="C465" s="8"/>
    </row>
    <row r="466" spans="2:3" ht="13.5" customHeight="1" x14ac:dyDescent="0.3">
      <c r="B466" s="7"/>
      <c r="C466" s="8"/>
    </row>
    <row r="467" spans="2:3" ht="13.5" customHeight="1" x14ac:dyDescent="0.3">
      <c r="B467" s="7"/>
      <c r="C467" s="8"/>
    </row>
    <row r="468" spans="2:3" ht="13.5" customHeight="1" x14ac:dyDescent="0.3">
      <c r="B468" s="7"/>
      <c r="C468" s="8"/>
    </row>
    <row r="469" spans="2:3" ht="13.5" customHeight="1" x14ac:dyDescent="0.3">
      <c r="B469" s="7"/>
      <c r="C469" s="8"/>
    </row>
    <row r="470" spans="2:3" ht="13.5" customHeight="1" x14ac:dyDescent="0.3">
      <c r="B470" s="7"/>
      <c r="C470" s="8"/>
    </row>
    <row r="471" spans="2:3" ht="13.5" customHeight="1" x14ac:dyDescent="0.3">
      <c r="B471" s="7"/>
      <c r="C471" s="8"/>
    </row>
    <row r="472" spans="2:3" ht="13.5" customHeight="1" x14ac:dyDescent="0.3">
      <c r="B472" s="7"/>
      <c r="C472" s="8"/>
    </row>
    <row r="473" spans="2:3" ht="13.5" customHeight="1" x14ac:dyDescent="0.3">
      <c r="B473" s="7"/>
      <c r="C473" s="8"/>
    </row>
    <row r="474" spans="2:3" ht="13.5" customHeight="1" x14ac:dyDescent="0.3">
      <c r="B474" s="7"/>
      <c r="C474" s="8"/>
    </row>
    <row r="475" spans="2:3" ht="13.5" customHeight="1" x14ac:dyDescent="0.3">
      <c r="B475" s="7"/>
      <c r="C475" s="8"/>
    </row>
    <row r="476" spans="2:3" ht="13.5" customHeight="1" x14ac:dyDescent="0.3">
      <c r="B476" s="7"/>
      <c r="C476" s="8"/>
    </row>
    <row r="477" spans="2:3" ht="13.5" customHeight="1" x14ac:dyDescent="0.3">
      <c r="B477" s="7"/>
      <c r="C477" s="8"/>
    </row>
    <row r="478" spans="2:3" ht="13.5" customHeight="1" x14ac:dyDescent="0.3">
      <c r="B478" s="7"/>
      <c r="C478" s="8"/>
    </row>
    <row r="479" spans="2:3" ht="13.5" customHeight="1" x14ac:dyDescent="0.3">
      <c r="B479" s="7"/>
      <c r="C479" s="8"/>
    </row>
    <row r="480" spans="2:3" ht="13.5" customHeight="1" x14ac:dyDescent="0.3">
      <c r="B480" s="7"/>
      <c r="C480" s="8"/>
    </row>
    <row r="481" spans="2:3" ht="13.5" customHeight="1" x14ac:dyDescent="0.3">
      <c r="B481" s="7"/>
      <c r="C481" s="8"/>
    </row>
    <row r="482" spans="2:3" ht="13.5" customHeight="1" x14ac:dyDescent="0.3">
      <c r="B482" s="7"/>
      <c r="C482" s="8"/>
    </row>
    <row r="483" spans="2:3" ht="13.5" customHeight="1" x14ac:dyDescent="0.3">
      <c r="B483" s="7"/>
      <c r="C483" s="8"/>
    </row>
    <row r="484" spans="2:3" ht="13.5" customHeight="1" x14ac:dyDescent="0.3">
      <c r="B484" s="7"/>
      <c r="C484" s="8"/>
    </row>
    <row r="485" spans="2:3" ht="13.5" customHeight="1" x14ac:dyDescent="0.3">
      <c r="B485" s="7"/>
      <c r="C485" s="8"/>
    </row>
    <row r="486" spans="2:3" ht="13.5" customHeight="1" x14ac:dyDescent="0.3">
      <c r="B486" s="7"/>
      <c r="C486" s="8"/>
    </row>
    <row r="487" spans="2:3" ht="13.5" customHeight="1" x14ac:dyDescent="0.3">
      <c r="B487" s="7"/>
      <c r="C487" s="8"/>
    </row>
    <row r="488" spans="2:3" ht="13.5" customHeight="1" x14ac:dyDescent="0.3">
      <c r="B488" s="7"/>
      <c r="C488" s="8"/>
    </row>
    <row r="489" spans="2:3" ht="13.5" customHeight="1" x14ac:dyDescent="0.3">
      <c r="B489" s="7"/>
      <c r="C489" s="8"/>
    </row>
    <row r="490" spans="2:3" ht="13.5" customHeight="1" x14ac:dyDescent="0.3">
      <c r="B490" s="7"/>
      <c r="C490" s="8"/>
    </row>
    <row r="491" spans="2:3" ht="13.5" customHeight="1" x14ac:dyDescent="0.3">
      <c r="B491" s="7"/>
      <c r="C491" s="8"/>
    </row>
    <row r="492" spans="2:3" ht="13.5" customHeight="1" x14ac:dyDescent="0.3">
      <c r="B492" s="7"/>
      <c r="C492" s="8"/>
    </row>
    <row r="493" spans="2:3" ht="13.5" customHeight="1" x14ac:dyDescent="0.3">
      <c r="B493" s="7"/>
      <c r="C493" s="8"/>
    </row>
    <row r="494" spans="2:3" ht="13.5" customHeight="1" x14ac:dyDescent="0.3">
      <c r="B494" s="7"/>
      <c r="C494" s="8"/>
    </row>
    <row r="495" spans="2:3" ht="13.5" customHeight="1" x14ac:dyDescent="0.3">
      <c r="B495" s="7"/>
      <c r="C495" s="8"/>
    </row>
    <row r="496" spans="2:3" ht="13.5" customHeight="1" x14ac:dyDescent="0.3">
      <c r="B496" s="7"/>
      <c r="C496" s="8"/>
    </row>
    <row r="497" spans="2:3" ht="13.5" customHeight="1" x14ac:dyDescent="0.3">
      <c r="B497" s="7"/>
      <c r="C497" s="8"/>
    </row>
    <row r="498" spans="2:3" ht="13.5" customHeight="1" x14ac:dyDescent="0.3">
      <c r="B498" s="7"/>
      <c r="C498" s="8"/>
    </row>
    <row r="499" spans="2:3" ht="13.5" customHeight="1" x14ac:dyDescent="0.3">
      <c r="B499" s="7"/>
      <c r="C499" s="8"/>
    </row>
    <row r="500" spans="2:3" ht="13.5" customHeight="1" x14ac:dyDescent="0.3">
      <c r="B500" s="7"/>
      <c r="C500" s="8"/>
    </row>
    <row r="501" spans="2:3" ht="13.5" customHeight="1" x14ac:dyDescent="0.3">
      <c r="B501" s="7"/>
      <c r="C501" s="8"/>
    </row>
    <row r="502" spans="2:3" ht="13.5" customHeight="1" x14ac:dyDescent="0.3">
      <c r="B502" s="7"/>
      <c r="C502" s="8"/>
    </row>
    <row r="503" spans="2:3" ht="13.5" customHeight="1" x14ac:dyDescent="0.3">
      <c r="B503" s="7"/>
      <c r="C503" s="8"/>
    </row>
    <row r="504" spans="2:3" ht="13.5" customHeight="1" x14ac:dyDescent="0.3">
      <c r="B504" s="7"/>
      <c r="C504" s="8"/>
    </row>
    <row r="505" spans="2:3" ht="13.5" customHeight="1" x14ac:dyDescent="0.3">
      <c r="B505" s="7"/>
      <c r="C505" s="8"/>
    </row>
    <row r="506" spans="2:3" ht="13.5" customHeight="1" x14ac:dyDescent="0.3">
      <c r="B506" s="7"/>
      <c r="C506" s="8"/>
    </row>
    <row r="507" spans="2:3" ht="13.5" customHeight="1" x14ac:dyDescent="0.3">
      <c r="B507" s="7"/>
      <c r="C507" s="8"/>
    </row>
    <row r="508" spans="2:3" ht="13.5" customHeight="1" x14ac:dyDescent="0.3">
      <c r="B508" s="7"/>
      <c r="C508" s="8"/>
    </row>
    <row r="509" spans="2:3" ht="13.5" customHeight="1" x14ac:dyDescent="0.3">
      <c r="B509" s="7"/>
      <c r="C509" s="8"/>
    </row>
    <row r="510" spans="2:3" ht="13.5" customHeight="1" x14ac:dyDescent="0.3">
      <c r="B510" s="7"/>
      <c r="C510" s="8"/>
    </row>
    <row r="511" spans="2:3" ht="13.5" customHeight="1" x14ac:dyDescent="0.3">
      <c r="B511" s="7"/>
      <c r="C511" s="8"/>
    </row>
    <row r="512" spans="2:3" ht="13.5" customHeight="1" x14ac:dyDescent="0.3">
      <c r="B512" s="7"/>
      <c r="C512" s="8"/>
    </row>
    <row r="513" spans="2:3" ht="13.5" customHeight="1" x14ac:dyDescent="0.3">
      <c r="B513" s="7"/>
      <c r="C513" s="8"/>
    </row>
    <row r="514" spans="2:3" ht="13.5" customHeight="1" x14ac:dyDescent="0.3">
      <c r="B514" s="7"/>
      <c r="C514" s="8"/>
    </row>
    <row r="515" spans="2:3" ht="13.5" customHeight="1" x14ac:dyDescent="0.3">
      <c r="B515" s="7"/>
      <c r="C515" s="8"/>
    </row>
    <row r="516" spans="2:3" ht="13.5" customHeight="1" x14ac:dyDescent="0.3">
      <c r="B516" s="7"/>
      <c r="C516" s="8"/>
    </row>
    <row r="517" spans="2:3" ht="13.5" customHeight="1" x14ac:dyDescent="0.3">
      <c r="B517" s="7"/>
      <c r="C517" s="8"/>
    </row>
    <row r="518" spans="2:3" ht="13.5" customHeight="1" x14ac:dyDescent="0.3">
      <c r="B518" s="7"/>
      <c r="C518" s="8"/>
    </row>
    <row r="519" spans="2:3" ht="13.5" customHeight="1" x14ac:dyDescent="0.3">
      <c r="B519" s="7"/>
      <c r="C519" s="8"/>
    </row>
    <row r="520" spans="2:3" ht="13.5" customHeight="1" x14ac:dyDescent="0.3">
      <c r="B520" s="7"/>
      <c r="C520" s="8"/>
    </row>
    <row r="521" spans="2:3" ht="13.5" customHeight="1" x14ac:dyDescent="0.3">
      <c r="B521" s="7"/>
      <c r="C521" s="8"/>
    </row>
    <row r="522" spans="2:3" ht="13.5" customHeight="1" x14ac:dyDescent="0.3">
      <c r="B522" s="7"/>
      <c r="C522" s="8"/>
    </row>
    <row r="523" spans="2:3" ht="13.5" customHeight="1" x14ac:dyDescent="0.3">
      <c r="B523" s="7"/>
      <c r="C523" s="8"/>
    </row>
    <row r="524" spans="2:3" ht="13.5" customHeight="1" x14ac:dyDescent="0.3">
      <c r="B524" s="7"/>
      <c r="C524" s="8"/>
    </row>
    <row r="525" spans="2:3" ht="13.5" customHeight="1" x14ac:dyDescent="0.3">
      <c r="B525" s="7"/>
      <c r="C525" s="8"/>
    </row>
    <row r="526" spans="2:3" ht="13.5" customHeight="1" x14ac:dyDescent="0.3">
      <c r="B526" s="7"/>
      <c r="C526" s="8"/>
    </row>
    <row r="527" spans="2:3" ht="13.5" customHeight="1" x14ac:dyDescent="0.3">
      <c r="B527" s="7"/>
      <c r="C527" s="8"/>
    </row>
    <row r="528" spans="2:3" ht="13.5" customHeight="1" x14ac:dyDescent="0.3">
      <c r="B528" s="7"/>
      <c r="C528" s="8"/>
    </row>
    <row r="529" spans="2:3" ht="13.5" customHeight="1" x14ac:dyDescent="0.3">
      <c r="B529" s="7"/>
      <c r="C529" s="8"/>
    </row>
    <row r="530" spans="2:3" ht="13.5" customHeight="1" x14ac:dyDescent="0.3">
      <c r="B530" s="7"/>
      <c r="C530" s="8"/>
    </row>
    <row r="531" spans="2:3" ht="13.5" customHeight="1" x14ac:dyDescent="0.3">
      <c r="B531" s="7"/>
      <c r="C531" s="8"/>
    </row>
    <row r="532" spans="2:3" ht="13.5" customHeight="1" x14ac:dyDescent="0.3">
      <c r="B532" s="7"/>
      <c r="C532" s="8"/>
    </row>
    <row r="533" spans="2:3" ht="13.5" customHeight="1" x14ac:dyDescent="0.3">
      <c r="B533" s="7"/>
      <c r="C533" s="8"/>
    </row>
    <row r="534" spans="2:3" ht="13.5" customHeight="1" x14ac:dyDescent="0.3">
      <c r="B534" s="7"/>
      <c r="C534" s="8"/>
    </row>
    <row r="535" spans="2:3" ht="13.5" customHeight="1" x14ac:dyDescent="0.3">
      <c r="B535" s="7"/>
      <c r="C535" s="8"/>
    </row>
    <row r="536" spans="2:3" ht="13.5" customHeight="1" x14ac:dyDescent="0.3">
      <c r="B536" s="7"/>
      <c r="C536" s="8"/>
    </row>
    <row r="537" spans="2:3" ht="13.5" customHeight="1" x14ac:dyDescent="0.3">
      <c r="B537" s="7"/>
      <c r="C537" s="8"/>
    </row>
    <row r="538" spans="2:3" ht="13.5" customHeight="1" x14ac:dyDescent="0.3">
      <c r="B538" s="7"/>
      <c r="C538" s="8"/>
    </row>
    <row r="539" spans="2:3" ht="13.5" customHeight="1" x14ac:dyDescent="0.3">
      <c r="B539" s="7"/>
      <c r="C539" s="8"/>
    </row>
    <row r="540" spans="2:3" ht="13.5" customHeight="1" x14ac:dyDescent="0.3">
      <c r="B540" s="7"/>
      <c r="C540" s="8"/>
    </row>
    <row r="541" spans="2:3" ht="13.5" customHeight="1" x14ac:dyDescent="0.3">
      <c r="B541" s="7"/>
      <c r="C541" s="8"/>
    </row>
    <row r="542" spans="2:3" ht="13.5" customHeight="1" x14ac:dyDescent="0.3">
      <c r="B542" s="7"/>
      <c r="C542" s="8"/>
    </row>
    <row r="543" spans="2:3" ht="13.5" customHeight="1" x14ac:dyDescent="0.3">
      <c r="B543" s="7"/>
      <c r="C543" s="8"/>
    </row>
    <row r="544" spans="2:3" ht="13.5" customHeight="1" x14ac:dyDescent="0.3">
      <c r="B544" s="7"/>
      <c r="C544" s="8"/>
    </row>
    <row r="545" spans="2:3" ht="13.5" customHeight="1" x14ac:dyDescent="0.3">
      <c r="B545" s="7"/>
      <c r="C545" s="8"/>
    </row>
    <row r="546" spans="2:3" ht="13.5" customHeight="1" x14ac:dyDescent="0.3">
      <c r="B546" s="7"/>
      <c r="C546" s="8"/>
    </row>
    <row r="547" spans="2:3" ht="13.5" customHeight="1" x14ac:dyDescent="0.3">
      <c r="B547" s="7"/>
      <c r="C547" s="8"/>
    </row>
    <row r="548" spans="2:3" ht="13.5" customHeight="1" x14ac:dyDescent="0.3">
      <c r="B548" s="7"/>
      <c r="C548" s="8"/>
    </row>
    <row r="549" spans="2:3" ht="13.5" customHeight="1" x14ac:dyDescent="0.3">
      <c r="B549" s="7"/>
      <c r="C549" s="8"/>
    </row>
    <row r="550" spans="2:3" ht="13.5" customHeight="1" x14ac:dyDescent="0.3">
      <c r="B550" s="7"/>
      <c r="C550" s="8"/>
    </row>
    <row r="551" spans="2:3" ht="13.5" customHeight="1" x14ac:dyDescent="0.3">
      <c r="B551" s="7"/>
      <c r="C551" s="8"/>
    </row>
    <row r="552" spans="2:3" ht="13.5" customHeight="1" x14ac:dyDescent="0.3">
      <c r="B552" s="7"/>
      <c r="C552" s="8"/>
    </row>
    <row r="553" spans="2:3" ht="13.5" customHeight="1" x14ac:dyDescent="0.3">
      <c r="B553" s="7"/>
      <c r="C553" s="8"/>
    </row>
    <row r="554" spans="2:3" ht="13.5" customHeight="1" x14ac:dyDescent="0.3">
      <c r="B554" s="7"/>
      <c r="C554" s="8"/>
    </row>
    <row r="555" spans="2:3" ht="13.5" customHeight="1" x14ac:dyDescent="0.3">
      <c r="B555" s="7"/>
      <c r="C555" s="8"/>
    </row>
    <row r="556" spans="2:3" ht="13.5" customHeight="1" x14ac:dyDescent="0.3">
      <c r="B556" s="7"/>
      <c r="C556" s="8"/>
    </row>
    <row r="557" spans="2:3" ht="13.5" customHeight="1" x14ac:dyDescent="0.3">
      <c r="B557" s="7"/>
      <c r="C557" s="8"/>
    </row>
    <row r="558" spans="2:3" ht="13.5" customHeight="1" x14ac:dyDescent="0.3">
      <c r="B558" s="7"/>
      <c r="C558" s="8"/>
    </row>
    <row r="559" spans="2:3" ht="13.5" customHeight="1" x14ac:dyDescent="0.3">
      <c r="B559" s="7"/>
      <c r="C559" s="8"/>
    </row>
    <row r="560" spans="2:3" ht="13.5" customHeight="1" x14ac:dyDescent="0.3">
      <c r="B560" s="7"/>
      <c r="C560" s="8"/>
    </row>
    <row r="561" spans="2:3" ht="13.5" customHeight="1" x14ac:dyDescent="0.3">
      <c r="B561" s="7"/>
      <c r="C561" s="8"/>
    </row>
    <row r="562" spans="2:3" ht="13.5" customHeight="1" x14ac:dyDescent="0.3">
      <c r="B562" s="7"/>
      <c r="C562" s="8"/>
    </row>
    <row r="563" spans="2:3" ht="13.5" customHeight="1" x14ac:dyDescent="0.3">
      <c r="B563" s="7"/>
      <c r="C563" s="8"/>
    </row>
    <row r="564" spans="2:3" ht="13.5" customHeight="1" x14ac:dyDescent="0.3">
      <c r="B564" s="7"/>
      <c r="C564" s="8"/>
    </row>
    <row r="565" spans="2:3" ht="13.5" customHeight="1" x14ac:dyDescent="0.3">
      <c r="B565" s="7"/>
      <c r="C565" s="8"/>
    </row>
    <row r="566" spans="2:3" ht="13.5" customHeight="1" x14ac:dyDescent="0.3">
      <c r="B566" s="7"/>
      <c r="C566" s="8"/>
    </row>
    <row r="567" spans="2:3" ht="13.5" customHeight="1" x14ac:dyDescent="0.3">
      <c r="B567" s="7"/>
      <c r="C567" s="8"/>
    </row>
    <row r="568" spans="2:3" ht="13.5" customHeight="1" x14ac:dyDescent="0.3">
      <c r="B568" s="7"/>
      <c r="C568" s="8"/>
    </row>
    <row r="569" spans="2:3" ht="13.5" customHeight="1" x14ac:dyDescent="0.3">
      <c r="B569" s="7"/>
      <c r="C569" s="8"/>
    </row>
    <row r="570" spans="2:3" ht="13.5" customHeight="1" x14ac:dyDescent="0.3">
      <c r="B570" s="7"/>
      <c r="C570" s="8"/>
    </row>
    <row r="571" spans="2:3" ht="13.5" customHeight="1" x14ac:dyDescent="0.3">
      <c r="B571" s="7"/>
      <c r="C571" s="8"/>
    </row>
    <row r="572" spans="2:3" ht="13.5" customHeight="1" x14ac:dyDescent="0.3">
      <c r="B572" s="7"/>
      <c r="C572" s="8"/>
    </row>
    <row r="573" spans="2:3" ht="13.5" customHeight="1" x14ac:dyDescent="0.3">
      <c r="B573" s="7"/>
      <c r="C573" s="8"/>
    </row>
    <row r="574" spans="2:3" ht="13.5" customHeight="1" x14ac:dyDescent="0.3">
      <c r="B574" s="7"/>
      <c r="C574" s="8"/>
    </row>
    <row r="575" spans="2:3" ht="13.5" customHeight="1" x14ac:dyDescent="0.3">
      <c r="B575" s="7"/>
      <c r="C575" s="8"/>
    </row>
    <row r="576" spans="2:3" ht="13.5" customHeight="1" x14ac:dyDescent="0.3">
      <c r="B576" s="7"/>
      <c r="C576" s="8"/>
    </row>
    <row r="577" spans="2:3" ht="13.5" customHeight="1" x14ac:dyDescent="0.3">
      <c r="B577" s="7"/>
      <c r="C577" s="8"/>
    </row>
    <row r="578" spans="2:3" ht="13.5" customHeight="1" x14ac:dyDescent="0.3">
      <c r="B578" s="7"/>
      <c r="C578" s="8"/>
    </row>
    <row r="579" spans="2:3" ht="13.5" customHeight="1" x14ac:dyDescent="0.3">
      <c r="B579" s="7"/>
      <c r="C579" s="8"/>
    </row>
    <row r="580" spans="2:3" ht="13.5" customHeight="1" x14ac:dyDescent="0.3">
      <c r="B580" s="7"/>
      <c r="C580" s="8"/>
    </row>
    <row r="581" spans="2:3" ht="13.5" customHeight="1" x14ac:dyDescent="0.3">
      <c r="B581" s="7"/>
      <c r="C581" s="8"/>
    </row>
    <row r="582" spans="2:3" ht="13.5" customHeight="1" x14ac:dyDescent="0.3">
      <c r="B582" s="7"/>
      <c r="C582" s="8"/>
    </row>
    <row r="583" spans="2:3" ht="13.5" customHeight="1" x14ac:dyDescent="0.3">
      <c r="B583" s="7"/>
      <c r="C583" s="8"/>
    </row>
    <row r="584" spans="2:3" ht="13.5" customHeight="1" x14ac:dyDescent="0.3">
      <c r="B584" s="7"/>
      <c r="C584" s="8"/>
    </row>
    <row r="585" spans="2:3" ht="13.5" customHeight="1" x14ac:dyDescent="0.3">
      <c r="B585" s="7"/>
      <c r="C585" s="8"/>
    </row>
    <row r="586" spans="2:3" ht="13.5" customHeight="1" x14ac:dyDescent="0.3">
      <c r="B586" s="7"/>
      <c r="C586" s="8"/>
    </row>
    <row r="587" spans="2:3" ht="13.5" customHeight="1" x14ac:dyDescent="0.3">
      <c r="B587" s="7"/>
      <c r="C587" s="8"/>
    </row>
    <row r="588" spans="2:3" ht="13.5" customHeight="1" x14ac:dyDescent="0.3">
      <c r="B588" s="7"/>
      <c r="C588" s="8"/>
    </row>
    <row r="589" spans="2:3" ht="13.5" customHeight="1" x14ac:dyDescent="0.3">
      <c r="B589" s="7"/>
      <c r="C589" s="8"/>
    </row>
    <row r="590" spans="2:3" ht="13.5" customHeight="1" x14ac:dyDescent="0.3">
      <c r="B590" s="7"/>
      <c r="C590" s="8"/>
    </row>
    <row r="591" spans="2:3" ht="13.5" customHeight="1" x14ac:dyDescent="0.3">
      <c r="B591" s="7"/>
      <c r="C591" s="8"/>
    </row>
    <row r="592" spans="2:3" ht="13.5" customHeight="1" x14ac:dyDescent="0.3">
      <c r="B592" s="7"/>
      <c r="C592" s="8"/>
    </row>
    <row r="593" spans="2:3" ht="13.5" customHeight="1" x14ac:dyDescent="0.3">
      <c r="B593" s="7"/>
      <c r="C593" s="8"/>
    </row>
    <row r="594" spans="2:3" ht="13.5" customHeight="1" x14ac:dyDescent="0.3">
      <c r="B594" s="7"/>
      <c r="C594" s="8"/>
    </row>
    <row r="595" spans="2:3" ht="13.5" customHeight="1" x14ac:dyDescent="0.3">
      <c r="B595" s="7"/>
      <c r="C595" s="8"/>
    </row>
    <row r="596" spans="2:3" ht="13.5" customHeight="1" x14ac:dyDescent="0.3">
      <c r="B596" s="7"/>
      <c r="C596" s="8"/>
    </row>
    <row r="597" spans="2:3" ht="13.5" customHeight="1" x14ac:dyDescent="0.3">
      <c r="B597" s="7"/>
      <c r="C597" s="8"/>
    </row>
    <row r="598" spans="2:3" ht="13.5" customHeight="1" x14ac:dyDescent="0.3">
      <c r="B598" s="7"/>
      <c r="C598" s="8"/>
    </row>
    <row r="599" spans="2:3" ht="13.5" customHeight="1" x14ac:dyDescent="0.3">
      <c r="B599" s="7"/>
      <c r="C599" s="8"/>
    </row>
    <row r="600" spans="2:3" ht="13.5" customHeight="1" x14ac:dyDescent="0.3">
      <c r="B600" s="7"/>
      <c r="C600" s="8"/>
    </row>
    <row r="601" spans="2:3" ht="13.5" customHeight="1" x14ac:dyDescent="0.3">
      <c r="B601" s="7"/>
      <c r="C601" s="8"/>
    </row>
    <row r="602" spans="2:3" ht="13.5" customHeight="1" x14ac:dyDescent="0.3">
      <c r="B602" s="7"/>
      <c r="C602" s="8"/>
    </row>
    <row r="603" spans="2:3" ht="13.5" customHeight="1" x14ac:dyDescent="0.3">
      <c r="B603" s="7"/>
      <c r="C603" s="8"/>
    </row>
    <row r="604" spans="2:3" ht="13.5" customHeight="1" x14ac:dyDescent="0.3">
      <c r="B604" s="7"/>
      <c r="C604" s="8"/>
    </row>
    <row r="605" spans="2:3" ht="13.5" customHeight="1" x14ac:dyDescent="0.3">
      <c r="B605" s="7"/>
      <c r="C605" s="8"/>
    </row>
    <row r="606" spans="2:3" ht="13.5" customHeight="1" x14ac:dyDescent="0.3">
      <c r="B606" s="7"/>
      <c r="C606" s="8"/>
    </row>
    <row r="607" spans="2:3" ht="13.5" customHeight="1" x14ac:dyDescent="0.3">
      <c r="B607" s="7"/>
      <c r="C607" s="8"/>
    </row>
    <row r="608" spans="2:3" ht="13.5" customHeight="1" x14ac:dyDescent="0.3">
      <c r="B608" s="7"/>
      <c r="C608" s="8"/>
    </row>
    <row r="609" spans="2:3" ht="13.5" customHeight="1" x14ac:dyDescent="0.3">
      <c r="B609" s="7"/>
      <c r="C609" s="8"/>
    </row>
    <row r="610" spans="2:3" ht="13.5" customHeight="1" x14ac:dyDescent="0.3">
      <c r="B610" s="7"/>
      <c r="C610" s="8"/>
    </row>
    <row r="611" spans="2:3" ht="13.5" customHeight="1" x14ac:dyDescent="0.3">
      <c r="B611" s="7"/>
      <c r="C611" s="8"/>
    </row>
    <row r="612" spans="2:3" ht="13.5" customHeight="1" x14ac:dyDescent="0.3">
      <c r="B612" s="7"/>
      <c r="C612" s="8"/>
    </row>
    <row r="613" spans="2:3" ht="13.5" customHeight="1" x14ac:dyDescent="0.3">
      <c r="B613" s="7"/>
      <c r="C613" s="8"/>
    </row>
    <row r="614" spans="2:3" ht="13.5" customHeight="1" x14ac:dyDescent="0.3">
      <c r="B614" s="7"/>
      <c r="C614" s="8"/>
    </row>
    <row r="615" spans="2:3" ht="13.5" customHeight="1" x14ac:dyDescent="0.3">
      <c r="B615" s="7"/>
      <c r="C615" s="8"/>
    </row>
    <row r="616" spans="2:3" ht="13.5" customHeight="1" x14ac:dyDescent="0.3">
      <c r="B616" s="7"/>
      <c r="C616" s="8"/>
    </row>
    <row r="617" spans="2:3" ht="13.5" customHeight="1" x14ac:dyDescent="0.3">
      <c r="B617" s="7"/>
      <c r="C617" s="8"/>
    </row>
    <row r="618" spans="2:3" ht="13.5" customHeight="1" x14ac:dyDescent="0.3">
      <c r="B618" s="7"/>
      <c r="C618" s="8"/>
    </row>
    <row r="619" spans="2:3" ht="13.5" customHeight="1" x14ac:dyDescent="0.3">
      <c r="B619" s="7"/>
      <c r="C619" s="8"/>
    </row>
    <row r="620" spans="2:3" ht="13.5" customHeight="1" x14ac:dyDescent="0.3">
      <c r="B620" s="7"/>
      <c r="C620" s="8"/>
    </row>
    <row r="621" spans="2:3" ht="13.5" customHeight="1" x14ac:dyDescent="0.3">
      <c r="B621" s="7"/>
      <c r="C621" s="8"/>
    </row>
    <row r="622" spans="2:3" ht="13.5" customHeight="1" x14ac:dyDescent="0.3">
      <c r="B622" s="7"/>
      <c r="C622" s="8"/>
    </row>
    <row r="623" spans="2:3" ht="13.5" customHeight="1" x14ac:dyDescent="0.3">
      <c r="B623" s="7"/>
      <c r="C623" s="8"/>
    </row>
    <row r="624" spans="2:3" ht="13.5" customHeight="1" x14ac:dyDescent="0.3">
      <c r="B624" s="7"/>
      <c r="C624" s="8"/>
    </row>
    <row r="625" spans="2:3" ht="13.5" customHeight="1" x14ac:dyDescent="0.3">
      <c r="B625" s="7"/>
      <c r="C625" s="8"/>
    </row>
    <row r="626" spans="2:3" ht="13.5" customHeight="1" x14ac:dyDescent="0.3">
      <c r="B626" s="7"/>
      <c r="C626" s="8"/>
    </row>
    <row r="627" spans="2:3" ht="13.5" customHeight="1" x14ac:dyDescent="0.3">
      <c r="B627" s="7"/>
      <c r="C627" s="8"/>
    </row>
    <row r="628" spans="2:3" ht="13.5" customHeight="1" x14ac:dyDescent="0.3">
      <c r="B628" s="7"/>
      <c r="C628" s="8"/>
    </row>
    <row r="629" spans="2:3" ht="13.5" customHeight="1" x14ac:dyDescent="0.3">
      <c r="B629" s="7"/>
      <c r="C629" s="8"/>
    </row>
    <row r="630" spans="2:3" ht="13.5" customHeight="1" x14ac:dyDescent="0.3">
      <c r="B630" s="7"/>
      <c r="C630" s="8"/>
    </row>
    <row r="631" spans="2:3" ht="13.5" customHeight="1" x14ac:dyDescent="0.3">
      <c r="B631" s="7"/>
      <c r="C631" s="8"/>
    </row>
    <row r="632" spans="2:3" ht="13.5" customHeight="1" x14ac:dyDescent="0.3">
      <c r="B632" s="7"/>
      <c r="C632" s="8"/>
    </row>
    <row r="633" spans="2:3" ht="13.5" customHeight="1" x14ac:dyDescent="0.3">
      <c r="B633" s="7"/>
      <c r="C633" s="8"/>
    </row>
    <row r="634" spans="2:3" ht="13.5" customHeight="1" x14ac:dyDescent="0.3">
      <c r="B634" s="7"/>
      <c r="C634" s="8"/>
    </row>
    <row r="635" spans="2:3" ht="13.5" customHeight="1" x14ac:dyDescent="0.3">
      <c r="B635" s="7"/>
      <c r="C635" s="8"/>
    </row>
    <row r="636" spans="2:3" ht="13.5" customHeight="1" x14ac:dyDescent="0.3">
      <c r="B636" s="7"/>
      <c r="C636" s="8"/>
    </row>
    <row r="637" spans="2:3" ht="13.5" customHeight="1" x14ac:dyDescent="0.3">
      <c r="B637" s="7"/>
      <c r="C637" s="8"/>
    </row>
    <row r="638" spans="2:3" ht="13.5" customHeight="1" x14ac:dyDescent="0.3">
      <c r="B638" s="7"/>
      <c r="C638" s="8"/>
    </row>
    <row r="639" spans="2:3" ht="13.5" customHeight="1" x14ac:dyDescent="0.3">
      <c r="B639" s="7"/>
      <c r="C639" s="8"/>
    </row>
    <row r="640" spans="2:3" ht="13.5" customHeight="1" x14ac:dyDescent="0.3">
      <c r="B640" s="7"/>
      <c r="C640" s="8"/>
    </row>
    <row r="641" spans="2:3" ht="13.5" customHeight="1" x14ac:dyDescent="0.3">
      <c r="B641" s="7"/>
      <c r="C641" s="8"/>
    </row>
    <row r="642" spans="2:3" ht="13.5" customHeight="1" x14ac:dyDescent="0.3">
      <c r="B642" s="7"/>
      <c r="C642" s="8"/>
    </row>
    <row r="643" spans="2:3" ht="13.5" customHeight="1" x14ac:dyDescent="0.3">
      <c r="B643" s="7"/>
      <c r="C643" s="8"/>
    </row>
    <row r="644" spans="2:3" ht="13.5" customHeight="1" x14ac:dyDescent="0.3">
      <c r="B644" s="7"/>
      <c r="C644" s="8"/>
    </row>
    <row r="645" spans="2:3" ht="13.5" customHeight="1" x14ac:dyDescent="0.3">
      <c r="B645" s="7"/>
      <c r="C645" s="8"/>
    </row>
    <row r="646" spans="2:3" ht="13.5" customHeight="1" x14ac:dyDescent="0.3">
      <c r="B646" s="7"/>
      <c r="C646" s="8"/>
    </row>
    <row r="647" spans="2:3" ht="13.5" customHeight="1" x14ac:dyDescent="0.3">
      <c r="B647" s="7"/>
      <c r="C647" s="8"/>
    </row>
    <row r="648" spans="2:3" ht="13.5" customHeight="1" x14ac:dyDescent="0.3">
      <c r="B648" s="7"/>
      <c r="C648" s="8"/>
    </row>
    <row r="649" spans="2:3" ht="13.5" customHeight="1" x14ac:dyDescent="0.3">
      <c r="B649" s="7"/>
      <c r="C649" s="8"/>
    </row>
    <row r="650" spans="2:3" ht="13.5" customHeight="1" x14ac:dyDescent="0.3">
      <c r="B650" s="7"/>
      <c r="C650" s="8"/>
    </row>
    <row r="651" spans="2:3" ht="13.5" customHeight="1" x14ac:dyDescent="0.3">
      <c r="B651" s="7"/>
      <c r="C651" s="8"/>
    </row>
    <row r="652" spans="2:3" ht="13.5" customHeight="1" x14ac:dyDescent="0.3">
      <c r="B652" s="7"/>
      <c r="C652" s="8"/>
    </row>
    <row r="653" spans="2:3" ht="13.5" customHeight="1" x14ac:dyDescent="0.3">
      <c r="B653" s="7"/>
      <c r="C653" s="8"/>
    </row>
    <row r="654" spans="2:3" ht="13.5" customHeight="1" x14ac:dyDescent="0.3">
      <c r="B654" s="7"/>
      <c r="C654" s="8"/>
    </row>
    <row r="655" spans="2:3" ht="13.5" customHeight="1" x14ac:dyDescent="0.3">
      <c r="B655" s="7"/>
      <c r="C655" s="8"/>
    </row>
    <row r="656" spans="2:3" ht="13.5" customHeight="1" x14ac:dyDescent="0.3">
      <c r="B656" s="7"/>
      <c r="C656" s="8"/>
    </row>
    <row r="657" spans="2:3" ht="13.5" customHeight="1" x14ac:dyDescent="0.3">
      <c r="B657" s="7"/>
      <c r="C657" s="8"/>
    </row>
    <row r="658" spans="2:3" ht="13.5" customHeight="1" x14ac:dyDescent="0.3">
      <c r="B658" s="7"/>
      <c r="C658" s="8"/>
    </row>
    <row r="659" spans="2:3" ht="13.5" customHeight="1" x14ac:dyDescent="0.3">
      <c r="B659" s="7"/>
      <c r="C659" s="8"/>
    </row>
    <row r="660" spans="2:3" ht="13.5" customHeight="1" x14ac:dyDescent="0.3">
      <c r="B660" s="7"/>
      <c r="C660" s="8"/>
    </row>
    <row r="661" spans="2:3" ht="13.5" customHeight="1" x14ac:dyDescent="0.3">
      <c r="B661" s="7"/>
      <c r="C661" s="8"/>
    </row>
    <row r="662" spans="2:3" ht="13.5" customHeight="1" x14ac:dyDescent="0.3">
      <c r="B662" s="7"/>
      <c r="C662" s="8"/>
    </row>
    <row r="663" spans="2:3" ht="13.5" customHeight="1" x14ac:dyDescent="0.3">
      <c r="B663" s="7"/>
      <c r="C663" s="8"/>
    </row>
    <row r="664" spans="2:3" ht="13.5" customHeight="1" x14ac:dyDescent="0.3">
      <c r="B664" s="7"/>
      <c r="C664" s="8"/>
    </row>
    <row r="665" spans="2:3" ht="13.5" customHeight="1" x14ac:dyDescent="0.3">
      <c r="B665" s="7"/>
      <c r="C665" s="8"/>
    </row>
    <row r="666" spans="2:3" ht="13.5" customHeight="1" x14ac:dyDescent="0.3">
      <c r="B666" s="7"/>
      <c r="C666" s="8"/>
    </row>
    <row r="667" spans="2:3" ht="13.5" customHeight="1" x14ac:dyDescent="0.3">
      <c r="B667" s="7"/>
      <c r="C667" s="8"/>
    </row>
    <row r="668" spans="2:3" ht="13.5" customHeight="1" x14ac:dyDescent="0.3">
      <c r="B668" s="7"/>
      <c r="C668" s="8"/>
    </row>
    <row r="669" spans="2:3" ht="13.5" customHeight="1" x14ac:dyDescent="0.3">
      <c r="B669" s="7"/>
      <c r="C669" s="8"/>
    </row>
    <row r="670" spans="2:3" ht="13.5" customHeight="1" x14ac:dyDescent="0.3">
      <c r="B670" s="7"/>
      <c r="C670" s="8"/>
    </row>
    <row r="671" spans="2:3" ht="13.5" customHeight="1" x14ac:dyDescent="0.3">
      <c r="B671" s="7"/>
      <c r="C671" s="8"/>
    </row>
    <row r="672" spans="2:3" ht="13.5" customHeight="1" x14ac:dyDescent="0.3">
      <c r="B672" s="7"/>
      <c r="C672" s="8"/>
    </row>
    <row r="673" spans="2:3" ht="13.5" customHeight="1" x14ac:dyDescent="0.3">
      <c r="B673" s="7"/>
      <c r="C673" s="8"/>
    </row>
    <row r="674" spans="2:3" ht="13.5" customHeight="1" x14ac:dyDescent="0.3">
      <c r="B674" s="7"/>
      <c r="C674" s="8"/>
    </row>
    <row r="675" spans="2:3" ht="13.5" customHeight="1" x14ac:dyDescent="0.3">
      <c r="B675" s="7"/>
      <c r="C675" s="8"/>
    </row>
    <row r="676" spans="2:3" ht="13.5" customHeight="1" x14ac:dyDescent="0.3">
      <c r="B676" s="7"/>
      <c r="C676" s="8"/>
    </row>
    <row r="677" spans="2:3" ht="13.5" customHeight="1" x14ac:dyDescent="0.3">
      <c r="B677" s="7"/>
      <c r="C677" s="8"/>
    </row>
    <row r="678" spans="2:3" ht="13.5" customHeight="1" x14ac:dyDescent="0.3">
      <c r="B678" s="7"/>
      <c r="C678" s="8"/>
    </row>
    <row r="679" spans="2:3" ht="13.5" customHeight="1" x14ac:dyDescent="0.3">
      <c r="B679" s="7"/>
      <c r="C679" s="8"/>
    </row>
    <row r="680" spans="2:3" ht="13.5" customHeight="1" x14ac:dyDescent="0.3">
      <c r="B680" s="7"/>
      <c r="C680" s="8"/>
    </row>
    <row r="681" spans="2:3" ht="13.5" customHeight="1" x14ac:dyDescent="0.3">
      <c r="B681" s="7"/>
      <c r="C681" s="8"/>
    </row>
    <row r="682" spans="2:3" ht="13.5" customHeight="1" x14ac:dyDescent="0.3">
      <c r="B682" s="7"/>
      <c r="C682" s="8"/>
    </row>
    <row r="683" spans="2:3" ht="13.5" customHeight="1" x14ac:dyDescent="0.3">
      <c r="B683" s="7"/>
      <c r="C683" s="8"/>
    </row>
    <row r="684" spans="2:3" ht="13.5" customHeight="1" x14ac:dyDescent="0.3">
      <c r="B684" s="7"/>
      <c r="C684" s="8"/>
    </row>
    <row r="685" spans="2:3" ht="13.5" customHeight="1" x14ac:dyDescent="0.3">
      <c r="B685" s="7"/>
      <c r="C685" s="8"/>
    </row>
    <row r="686" spans="2:3" ht="13.5" customHeight="1" x14ac:dyDescent="0.3">
      <c r="B686" s="7"/>
      <c r="C686" s="8"/>
    </row>
    <row r="687" spans="2:3" ht="13.5" customHeight="1" x14ac:dyDescent="0.3">
      <c r="B687" s="7"/>
      <c r="C687" s="8"/>
    </row>
    <row r="688" spans="2:3" ht="13.5" customHeight="1" x14ac:dyDescent="0.3">
      <c r="B688" s="7"/>
      <c r="C688" s="8"/>
    </row>
    <row r="689" spans="2:3" ht="13.5" customHeight="1" x14ac:dyDescent="0.3">
      <c r="B689" s="7"/>
      <c r="C689" s="8"/>
    </row>
    <row r="690" spans="2:3" ht="13.5" customHeight="1" x14ac:dyDescent="0.3">
      <c r="B690" s="7"/>
      <c r="C690" s="8"/>
    </row>
    <row r="691" spans="2:3" ht="13.5" customHeight="1" x14ac:dyDescent="0.3">
      <c r="B691" s="7"/>
      <c r="C691" s="8"/>
    </row>
    <row r="692" spans="2:3" ht="13.5" customHeight="1" x14ac:dyDescent="0.3">
      <c r="B692" s="7"/>
      <c r="C692" s="8"/>
    </row>
    <row r="693" spans="2:3" ht="13.5" customHeight="1" x14ac:dyDescent="0.3">
      <c r="B693" s="7"/>
      <c r="C693" s="8"/>
    </row>
    <row r="694" spans="2:3" ht="13.5" customHeight="1" x14ac:dyDescent="0.3">
      <c r="B694" s="7"/>
      <c r="C694" s="8"/>
    </row>
    <row r="695" spans="2:3" ht="13.5" customHeight="1" x14ac:dyDescent="0.3">
      <c r="B695" s="7"/>
      <c r="C695" s="8"/>
    </row>
    <row r="696" spans="2:3" ht="13.5" customHeight="1" x14ac:dyDescent="0.3">
      <c r="B696" s="7"/>
      <c r="C696" s="8"/>
    </row>
    <row r="697" spans="2:3" ht="13.5" customHeight="1" x14ac:dyDescent="0.3">
      <c r="B697" s="7"/>
      <c r="C697" s="8"/>
    </row>
    <row r="698" spans="2:3" ht="13.5" customHeight="1" x14ac:dyDescent="0.3">
      <c r="B698" s="7"/>
      <c r="C698" s="8"/>
    </row>
    <row r="699" spans="2:3" ht="13.5" customHeight="1" x14ac:dyDescent="0.3">
      <c r="B699" s="7"/>
      <c r="C699" s="8"/>
    </row>
    <row r="700" spans="2:3" ht="13.5" customHeight="1" x14ac:dyDescent="0.3">
      <c r="B700" s="7"/>
      <c r="C700" s="8"/>
    </row>
    <row r="701" spans="2:3" ht="13.5" customHeight="1" x14ac:dyDescent="0.3">
      <c r="B701" s="7"/>
      <c r="C701" s="8"/>
    </row>
    <row r="702" spans="2:3" ht="13.5" customHeight="1" x14ac:dyDescent="0.3">
      <c r="B702" s="7"/>
      <c r="C702" s="8"/>
    </row>
    <row r="703" spans="2:3" ht="13.5" customHeight="1" x14ac:dyDescent="0.3">
      <c r="B703" s="7"/>
      <c r="C703" s="8"/>
    </row>
    <row r="704" spans="2:3" ht="13.5" customHeight="1" x14ac:dyDescent="0.3">
      <c r="B704" s="7"/>
      <c r="C704" s="8"/>
    </row>
    <row r="705" spans="2:3" ht="13.5" customHeight="1" x14ac:dyDescent="0.3">
      <c r="B705" s="7"/>
      <c r="C705" s="8"/>
    </row>
    <row r="706" spans="2:3" ht="13.5" customHeight="1" x14ac:dyDescent="0.3">
      <c r="B706" s="7"/>
      <c r="C706" s="8"/>
    </row>
    <row r="707" spans="2:3" ht="13.5" customHeight="1" x14ac:dyDescent="0.3">
      <c r="B707" s="7"/>
      <c r="C707" s="8"/>
    </row>
    <row r="708" spans="2:3" ht="13.5" customHeight="1" x14ac:dyDescent="0.3">
      <c r="B708" s="7"/>
      <c r="C708" s="8"/>
    </row>
    <row r="709" spans="2:3" ht="13.5" customHeight="1" x14ac:dyDescent="0.3">
      <c r="B709" s="7"/>
      <c r="C709" s="8"/>
    </row>
    <row r="710" spans="2:3" ht="13.5" customHeight="1" x14ac:dyDescent="0.3">
      <c r="B710" s="7"/>
      <c r="C710" s="8"/>
    </row>
    <row r="711" spans="2:3" ht="13.5" customHeight="1" x14ac:dyDescent="0.3">
      <c r="B711" s="7"/>
      <c r="C711" s="8"/>
    </row>
    <row r="712" spans="2:3" ht="13.5" customHeight="1" x14ac:dyDescent="0.3">
      <c r="B712" s="7"/>
      <c r="C712" s="8"/>
    </row>
    <row r="713" spans="2:3" ht="13.5" customHeight="1" x14ac:dyDescent="0.3">
      <c r="B713" s="7"/>
      <c r="C713" s="8"/>
    </row>
    <row r="714" spans="2:3" ht="13.5" customHeight="1" x14ac:dyDescent="0.3">
      <c r="B714" s="7"/>
      <c r="C714" s="8"/>
    </row>
    <row r="715" spans="2:3" ht="13.5" customHeight="1" x14ac:dyDescent="0.3">
      <c r="B715" s="7"/>
      <c r="C715" s="8"/>
    </row>
    <row r="716" spans="2:3" ht="13.5" customHeight="1" x14ac:dyDescent="0.3">
      <c r="B716" s="7"/>
      <c r="C716" s="8"/>
    </row>
    <row r="717" spans="2:3" ht="13.5" customHeight="1" x14ac:dyDescent="0.3">
      <c r="B717" s="7"/>
      <c r="C717" s="8"/>
    </row>
    <row r="718" spans="2:3" ht="13.5" customHeight="1" x14ac:dyDescent="0.3">
      <c r="B718" s="7"/>
      <c r="C718" s="8"/>
    </row>
    <row r="719" spans="2:3" ht="13.5" customHeight="1" x14ac:dyDescent="0.3">
      <c r="B719" s="7"/>
      <c r="C719" s="8"/>
    </row>
    <row r="720" spans="2:3" ht="13.5" customHeight="1" x14ac:dyDescent="0.3">
      <c r="B720" s="7"/>
      <c r="C720" s="8"/>
    </row>
    <row r="721" spans="2:3" ht="13.5" customHeight="1" x14ac:dyDescent="0.3">
      <c r="B721" s="7"/>
      <c r="C721" s="8"/>
    </row>
    <row r="722" spans="2:3" ht="13.5" customHeight="1" x14ac:dyDescent="0.3">
      <c r="B722" s="7"/>
      <c r="C722" s="8"/>
    </row>
    <row r="723" spans="2:3" ht="13.5" customHeight="1" x14ac:dyDescent="0.3">
      <c r="B723" s="7"/>
      <c r="C723" s="8"/>
    </row>
    <row r="724" spans="2:3" ht="13.5" customHeight="1" x14ac:dyDescent="0.3">
      <c r="B724" s="7"/>
      <c r="C724" s="8"/>
    </row>
    <row r="725" spans="2:3" ht="13.5" customHeight="1" x14ac:dyDescent="0.3">
      <c r="B725" s="7"/>
      <c r="C725" s="8"/>
    </row>
    <row r="726" spans="2:3" ht="13.5" customHeight="1" x14ac:dyDescent="0.3">
      <c r="B726" s="7"/>
      <c r="C726" s="8"/>
    </row>
    <row r="727" spans="2:3" ht="13.5" customHeight="1" x14ac:dyDescent="0.3">
      <c r="B727" s="7"/>
      <c r="C727" s="8"/>
    </row>
    <row r="728" spans="2:3" ht="13.5" customHeight="1" x14ac:dyDescent="0.3">
      <c r="B728" s="7"/>
      <c r="C728" s="8"/>
    </row>
    <row r="729" spans="2:3" ht="13.5" customHeight="1" x14ac:dyDescent="0.3">
      <c r="B729" s="7"/>
      <c r="C729" s="8"/>
    </row>
    <row r="730" spans="2:3" ht="13.5" customHeight="1" x14ac:dyDescent="0.3">
      <c r="B730" s="7"/>
      <c r="C730" s="8"/>
    </row>
    <row r="731" spans="2:3" ht="13.5" customHeight="1" x14ac:dyDescent="0.3">
      <c r="B731" s="7"/>
      <c r="C731" s="8"/>
    </row>
    <row r="732" spans="2:3" ht="13.5" customHeight="1" x14ac:dyDescent="0.3">
      <c r="B732" s="7"/>
      <c r="C732" s="8"/>
    </row>
    <row r="733" spans="2:3" ht="13.5" customHeight="1" x14ac:dyDescent="0.3">
      <c r="B733" s="7"/>
      <c r="C733" s="8"/>
    </row>
    <row r="734" spans="2:3" ht="13.5" customHeight="1" x14ac:dyDescent="0.3">
      <c r="B734" s="7"/>
      <c r="C734" s="8"/>
    </row>
    <row r="735" spans="2:3" ht="13.5" customHeight="1" x14ac:dyDescent="0.3">
      <c r="B735" s="7"/>
      <c r="C735" s="8"/>
    </row>
    <row r="736" spans="2:3" ht="13.5" customHeight="1" x14ac:dyDescent="0.3">
      <c r="B736" s="7"/>
      <c r="C736" s="8"/>
    </row>
    <row r="737" spans="2:3" ht="13.5" customHeight="1" x14ac:dyDescent="0.3">
      <c r="B737" s="7"/>
      <c r="C737" s="8"/>
    </row>
    <row r="738" spans="2:3" ht="13.5" customHeight="1" x14ac:dyDescent="0.3">
      <c r="B738" s="7"/>
      <c r="C738" s="8"/>
    </row>
    <row r="739" spans="2:3" ht="13.5" customHeight="1" x14ac:dyDescent="0.3">
      <c r="B739" s="7"/>
      <c r="C739" s="8"/>
    </row>
    <row r="740" spans="2:3" ht="13.5" customHeight="1" x14ac:dyDescent="0.3">
      <c r="B740" s="7"/>
      <c r="C740" s="8"/>
    </row>
    <row r="741" spans="2:3" ht="13.5" customHeight="1" x14ac:dyDescent="0.3">
      <c r="B741" s="7"/>
      <c r="C741" s="8"/>
    </row>
    <row r="742" spans="2:3" ht="13.5" customHeight="1" x14ac:dyDescent="0.3">
      <c r="B742" s="7"/>
      <c r="C742" s="8"/>
    </row>
    <row r="743" spans="2:3" ht="13.5" customHeight="1" x14ac:dyDescent="0.3">
      <c r="B743" s="7"/>
      <c r="C743" s="8"/>
    </row>
    <row r="744" spans="2:3" ht="13.5" customHeight="1" x14ac:dyDescent="0.3">
      <c r="B744" s="7"/>
      <c r="C744" s="8"/>
    </row>
    <row r="745" spans="2:3" ht="13.5" customHeight="1" x14ac:dyDescent="0.3">
      <c r="B745" s="7"/>
      <c r="C745" s="8"/>
    </row>
    <row r="746" spans="2:3" ht="13.5" customHeight="1" x14ac:dyDescent="0.3">
      <c r="B746" s="7"/>
      <c r="C746" s="8"/>
    </row>
    <row r="747" spans="2:3" ht="13.5" customHeight="1" x14ac:dyDescent="0.3">
      <c r="B747" s="7"/>
      <c r="C747" s="8"/>
    </row>
    <row r="748" spans="2:3" ht="13.5" customHeight="1" x14ac:dyDescent="0.3">
      <c r="B748" s="7"/>
      <c r="C748" s="8"/>
    </row>
    <row r="749" spans="2:3" ht="13.5" customHeight="1" x14ac:dyDescent="0.3">
      <c r="B749" s="7"/>
      <c r="C749" s="8"/>
    </row>
    <row r="750" spans="2:3" ht="13.5" customHeight="1" x14ac:dyDescent="0.3">
      <c r="B750" s="7"/>
      <c r="C750" s="8"/>
    </row>
    <row r="751" spans="2:3" ht="13.5" customHeight="1" x14ac:dyDescent="0.3">
      <c r="B751" s="7"/>
      <c r="C751" s="8"/>
    </row>
    <row r="752" spans="2:3" ht="13.5" customHeight="1" x14ac:dyDescent="0.3">
      <c r="B752" s="7"/>
      <c r="C752" s="8"/>
    </row>
    <row r="753" spans="2:3" ht="13.5" customHeight="1" x14ac:dyDescent="0.3">
      <c r="B753" s="7"/>
      <c r="C753" s="8"/>
    </row>
    <row r="754" spans="2:3" ht="13.5" customHeight="1" x14ac:dyDescent="0.3">
      <c r="B754" s="7"/>
      <c r="C754" s="8"/>
    </row>
    <row r="755" spans="2:3" ht="13.5" customHeight="1" x14ac:dyDescent="0.3">
      <c r="B755" s="7"/>
      <c r="C755" s="8"/>
    </row>
    <row r="756" spans="2:3" ht="13.5" customHeight="1" x14ac:dyDescent="0.3">
      <c r="B756" s="7"/>
      <c r="C756" s="8"/>
    </row>
    <row r="757" spans="2:3" ht="13.5" customHeight="1" x14ac:dyDescent="0.3">
      <c r="B757" s="7"/>
      <c r="C757" s="8"/>
    </row>
    <row r="758" spans="2:3" ht="13.5" customHeight="1" x14ac:dyDescent="0.3">
      <c r="B758" s="7"/>
      <c r="C758" s="8"/>
    </row>
    <row r="759" spans="2:3" ht="13.5" customHeight="1" x14ac:dyDescent="0.3">
      <c r="B759" s="7"/>
      <c r="C759" s="8"/>
    </row>
    <row r="760" spans="2:3" ht="13.5" customHeight="1" x14ac:dyDescent="0.3">
      <c r="B760" s="7"/>
      <c r="C760" s="8"/>
    </row>
    <row r="761" spans="2:3" ht="13.5" customHeight="1" x14ac:dyDescent="0.3">
      <c r="B761" s="7"/>
      <c r="C761" s="8"/>
    </row>
    <row r="762" spans="2:3" ht="13.5" customHeight="1" x14ac:dyDescent="0.3">
      <c r="B762" s="7"/>
      <c r="C762" s="8"/>
    </row>
    <row r="763" spans="2:3" ht="13.5" customHeight="1" x14ac:dyDescent="0.3">
      <c r="B763" s="7"/>
      <c r="C763" s="8"/>
    </row>
    <row r="764" spans="2:3" ht="13.5" customHeight="1" x14ac:dyDescent="0.3">
      <c r="B764" s="7"/>
      <c r="C764" s="8"/>
    </row>
    <row r="765" spans="2:3" ht="13.5" customHeight="1" x14ac:dyDescent="0.3">
      <c r="B765" s="7"/>
      <c r="C765" s="8"/>
    </row>
    <row r="766" spans="2:3" ht="13.5" customHeight="1" x14ac:dyDescent="0.3">
      <c r="B766" s="7"/>
      <c r="C766" s="8"/>
    </row>
    <row r="767" spans="2:3" ht="13.5" customHeight="1" x14ac:dyDescent="0.3">
      <c r="B767" s="7"/>
      <c r="C767" s="8"/>
    </row>
    <row r="768" spans="2:3" ht="13.5" customHeight="1" x14ac:dyDescent="0.3">
      <c r="B768" s="7"/>
      <c r="C768" s="8"/>
    </row>
    <row r="769" spans="2:3" ht="13.5" customHeight="1" x14ac:dyDescent="0.3">
      <c r="B769" s="7"/>
      <c r="C769" s="8"/>
    </row>
    <row r="770" spans="2:3" ht="13.5" customHeight="1" x14ac:dyDescent="0.3">
      <c r="B770" s="7"/>
      <c r="C770" s="8"/>
    </row>
    <row r="771" spans="2:3" ht="13.5" customHeight="1" x14ac:dyDescent="0.3">
      <c r="B771" s="7"/>
      <c r="C771" s="8"/>
    </row>
    <row r="772" spans="2:3" ht="13.5" customHeight="1" x14ac:dyDescent="0.3">
      <c r="B772" s="7"/>
      <c r="C772" s="8"/>
    </row>
    <row r="773" spans="2:3" ht="13.5" customHeight="1" x14ac:dyDescent="0.3">
      <c r="B773" s="7"/>
      <c r="C773" s="8"/>
    </row>
    <row r="774" spans="2:3" ht="13.5" customHeight="1" x14ac:dyDescent="0.3">
      <c r="B774" s="7"/>
      <c r="C774" s="8"/>
    </row>
    <row r="775" spans="2:3" ht="13.5" customHeight="1" x14ac:dyDescent="0.3">
      <c r="B775" s="7"/>
      <c r="C775" s="8"/>
    </row>
    <row r="776" spans="2:3" ht="13.5" customHeight="1" x14ac:dyDescent="0.3">
      <c r="B776" s="7"/>
      <c r="C776" s="8"/>
    </row>
    <row r="777" spans="2:3" ht="13.5" customHeight="1" x14ac:dyDescent="0.3">
      <c r="B777" s="7"/>
      <c r="C777" s="8"/>
    </row>
    <row r="778" spans="2:3" ht="13.5" customHeight="1" x14ac:dyDescent="0.3">
      <c r="B778" s="7"/>
      <c r="C778" s="8"/>
    </row>
    <row r="779" spans="2:3" ht="13.5" customHeight="1" x14ac:dyDescent="0.3">
      <c r="B779" s="7"/>
      <c r="C779" s="8"/>
    </row>
    <row r="780" spans="2:3" ht="13.5" customHeight="1" x14ac:dyDescent="0.3">
      <c r="B780" s="7"/>
      <c r="C780" s="8"/>
    </row>
    <row r="781" spans="2:3" ht="13.5" customHeight="1" x14ac:dyDescent="0.3">
      <c r="B781" s="7"/>
      <c r="C781" s="8"/>
    </row>
    <row r="782" spans="2:3" ht="13.5" customHeight="1" x14ac:dyDescent="0.3">
      <c r="B782" s="7"/>
      <c r="C782" s="8"/>
    </row>
    <row r="783" spans="2:3" ht="13.5" customHeight="1" x14ac:dyDescent="0.3">
      <c r="B783" s="7"/>
      <c r="C783" s="8"/>
    </row>
    <row r="784" spans="2:3" ht="13.5" customHeight="1" x14ac:dyDescent="0.3">
      <c r="B784" s="7"/>
      <c r="C784" s="8"/>
    </row>
    <row r="785" spans="2:3" ht="13.5" customHeight="1" x14ac:dyDescent="0.3">
      <c r="B785" s="7"/>
      <c r="C785" s="8"/>
    </row>
    <row r="786" spans="2:3" ht="13.5" customHeight="1" x14ac:dyDescent="0.3">
      <c r="B786" s="7"/>
      <c r="C786" s="8"/>
    </row>
    <row r="787" spans="2:3" ht="13.5" customHeight="1" x14ac:dyDescent="0.3">
      <c r="B787" s="7"/>
      <c r="C787" s="8"/>
    </row>
    <row r="788" spans="2:3" ht="13.5" customHeight="1" x14ac:dyDescent="0.3">
      <c r="B788" s="7"/>
      <c r="C788" s="8"/>
    </row>
    <row r="789" spans="2:3" ht="13.5" customHeight="1" x14ac:dyDescent="0.3">
      <c r="B789" s="7"/>
      <c r="C789" s="8"/>
    </row>
    <row r="790" spans="2:3" ht="13.5" customHeight="1" x14ac:dyDescent="0.3">
      <c r="B790" s="7"/>
      <c r="C790" s="8"/>
    </row>
    <row r="791" spans="2:3" ht="13.5" customHeight="1" x14ac:dyDescent="0.3">
      <c r="B791" s="7"/>
      <c r="C791" s="8"/>
    </row>
    <row r="792" spans="2:3" ht="13.5" customHeight="1" x14ac:dyDescent="0.3">
      <c r="B792" s="7"/>
      <c r="C792" s="8"/>
    </row>
    <row r="793" spans="2:3" ht="13.5" customHeight="1" x14ac:dyDescent="0.3">
      <c r="B793" s="7"/>
      <c r="C793" s="8"/>
    </row>
    <row r="794" spans="2:3" ht="13.5" customHeight="1" x14ac:dyDescent="0.3">
      <c r="B794" s="7"/>
      <c r="C794" s="8"/>
    </row>
    <row r="795" spans="2:3" ht="13.5" customHeight="1" x14ac:dyDescent="0.3">
      <c r="B795" s="7"/>
      <c r="C795" s="8"/>
    </row>
    <row r="796" spans="2:3" ht="13.5" customHeight="1" x14ac:dyDescent="0.3">
      <c r="B796" s="7"/>
      <c r="C796" s="8"/>
    </row>
    <row r="797" spans="2:3" ht="13.5" customHeight="1" x14ac:dyDescent="0.3">
      <c r="B797" s="7"/>
      <c r="C797" s="8"/>
    </row>
    <row r="798" spans="2:3" ht="13.5" customHeight="1" x14ac:dyDescent="0.3">
      <c r="B798" s="7"/>
      <c r="C798" s="8"/>
    </row>
    <row r="799" spans="2:3" ht="13.5" customHeight="1" x14ac:dyDescent="0.3">
      <c r="B799" s="7"/>
      <c r="C799" s="8"/>
    </row>
    <row r="800" spans="2:3" ht="13.5" customHeight="1" x14ac:dyDescent="0.3">
      <c r="B800" s="7"/>
      <c r="C800" s="8"/>
    </row>
    <row r="801" spans="2:3" ht="13.5" customHeight="1" x14ac:dyDescent="0.3">
      <c r="B801" s="7"/>
      <c r="C801" s="8"/>
    </row>
    <row r="802" spans="2:3" ht="13.5" customHeight="1" x14ac:dyDescent="0.3">
      <c r="B802" s="7"/>
      <c r="C802" s="8"/>
    </row>
    <row r="803" spans="2:3" ht="13.5" customHeight="1" x14ac:dyDescent="0.3">
      <c r="B803" s="7"/>
      <c r="C803" s="8"/>
    </row>
    <row r="804" spans="2:3" ht="13.5" customHeight="1" x14ac:dyDescent="0.3">
      <c r="B804" s="7"/>
      <c r="C804" s="8"/>
    </row>
    <row r="805" spans="2:3" ht="13.5" customHeight="1" x14ac:dyDescent="0.3">
      <c r="B805" s="7"/>
      <c r="C805" s="8"/>
    </row>
    <row r="806" spans="2:3" ht="13.5" customHeight="1" x14ac:dyDescent="0.3">
      <c r="B806" s="7"/>
      <c r="C806" s="8"/>
    </row>
    <row r="807" spans="2:3" ht="13.5" customHeight="1" x14ac:dyDescent="0.3">
      <c r="B807" s="7"/>
      <c r="C807" s="8"/>
    </row>
    <row r="808" spans="2:3" ht="13.5" customHeight="1" x14ac:dyDescent="0.3">
      <c r="B808" s="7"/>
      <c r="C808" s="8"/>
    </row>
    <row r="809" spans="2:3" ht="13.5" customHeight="1" x14ac:dyDescent="0.3">
      <c r="B809" s="7"/>
      <c r="C809" s="8"/>
    </row>
    <row r="810" spans="2:3" ht="13.5" customHeight="1" x14ac:dyDescent="0.3">
      <c r="B810" s="7"/>
      <c r="C810" s="8"/>
    </row>
    <row r="811" spans="2:3" ht="13.5" customHeight="1" x14ac:dyDescent="0.3">
      <c r="B811" s="7"/>
      <c r="C811" s="8"/>
    </row>
    <row r="812" spans="2:3" ht="13.5" customHeight="1" x14ac:dyDescent="0.3">
      <c r="B812" s="7"/>
      <c r="C812" s="8"/>
    </row>
    <row r="813" spans="2:3" ht="13.5" customHeight="1" x14ac:dyDescent="0.3">
      <c r="B813" s="7"/>
      <c r="C813" s="8"/>
    </row>
    <row r="814" spans="2:3" ht="13.5" customHeight="1" x14ac:dyDescent="0.3">
      <c r="B814" s="7"/>
      <c r="C814" s="8"/>
    </row>
    <row r="815" spans="2:3" ht="13.5" customHeight="1" x14ac:dyDescent="0.3">
      <c r="B815" s="7"/>
      <c r="C815" s="8"/>
    </row>
    <row r="816" spans="2:3" ht="13.5" customHeight="1" x14ac:dyDescent="0.3">
      <c r="B816" s="7"/>
      <c r="C816" s="8"/>
    </row>
    <row r="817" spans="2:3" ht="13.5" customHeight="1" x14ac:dyDescent="0.3">
      <c r="B817" s="7"/>
      <c r="C817" s="8"/>
    </row>
    <row r="818" spans="2:3" ht="13.5" customHeight="1" x14ac:dyDescent="0.3">
      <c r="B818" s="7"/>
      <c r="C818" s="8"/>
    </row>
    <row r="819" spans="2:3" ht="13.5" customHeight="1" x14ac:dyDescent="0.3">
      <c r="B819" s="7"/>
      <c r="C819" s="8"/>
    </row>
    <row r="820" spans="2:3" ht="13.5" customHeight="1" x14ac:dyDescent="0.3">
      <c r="B820" s="7"/>
      <c r="C820" s="8"/>
    </row>
    <row r="821" spans="2:3" ht="13.5" customHeight="1" x14ac:dyDescent="0.3">
      <c r="B821" s="7"/>
      <c r="C821" s="8"/>
    </row>
    <row r="822" spans="2:3" ht="13.5" customHeight="1" x14ac:dyDescent="0.3">
      <c r="B822" s="7"/>
      <c r="C822" s="8"/>
    </row>
    <row r="823" spans="2:3" ht="13.5" customHeight="1" x14ac:dyDescent="0.3">
      <c r="B823" s="7"/>
      <c r="C823" s="8"/>
    </row>
    <row r="824" spans="2:3" ht="13.5" customHeight="1" x14ac:dyDescent="0.3">
      <c r="B824" s="7"/>
      <c r="C824" s="8"/>
    </row>
    <row r="825" spans="2:3" ht="13.5" customHeight="1" x14ac:dyDescent="0.3">
      <c r="B825" s="7"/>
      <c r="C825" s="8"/>
    </row>
    <row r="826" spans="2:3" ht="13.5" customHeight="1" x14ac:dyDescent="0.3">
      <c r="B826" s="7"/>
      <c r="C826" s="8"/>
    </row>
    <row r="827" spans="2:3" ht="13.5" customHeight="1" x14ac:dyDescent="0.3">
      <c r="B827" s="7"/>
      <c r="C827" s="8"/>
    </row>
    <row r="828" spans="2:3" ht="13.5" customHeight="1" x14ac:dyDescent="0.3">
      <c r="B828" s="7"/>
      <c r="C828" s="8"/>
    </row>
    <row r="829" spans="2:3" ht="13.5" customHeight="1" x14ac:dyDescent="0.3">
      <c r="B829" s="7"/>
      <c r="C829" s="8"/>
    </row>
    <row r="830" spans="2:3" ht="13.5" customHeight="1" x14ac:dyDescent="0.3">
      <c r="B830" s="7"/>
      <c r="C830" s="8"/>
    </row>
    <row r="831" spans="2:3" ht="13.5" customHeight="1" x14ac:dyDescent="0.3">
      <c r="B831" s="7"/>
      <c r="C831" s="8"/>
    </row>
    <row r="832" spans="2:3" ht="13.5" customHeight="1" x14ac:dyDescent="0.3">
      <c r="B832" s="7"/>
      <c r="C832" s="8"/>
    </row>
    <row r="833" spans="2:3" ht="13.5" customHeight="1" x14ac:dyDescent="0.3">
      <c r="B833" s="7"/>
      <c r="C833" s="8"/>
    </row>
    <row r="834" spans="2:3" ht="13.5" customHeight="1" x14ac:dyDescent="0.3">
      <c r="B834" s="7"/>
      <c r="C834" s="8"/>
    </row>
    <row r="835" spans="2:3" ht="13.5" customHeight="1" x14ac:dyDescent="0.3">
      <c r="B835" s="7"/>
      <c r="C835" s="8"/>
    </row>
    <row r="836" spans="2:3" ht="13.5" customHeight="1" x14ac:dyDescent="0.3">
      <c r="B836" s="7"/>
      <c r="C836" s="8"/>
    </row>
    <row r="837" spans="2:3" ht="13.5" customHeight="1" x14ac:dyDescent="0.3">
      <c r="B837" s="7"/>
      <c r="C837" s="8"/>
    </row>
    <row r="838" spans="2:3" ht="13.5" customHeight="1" x14ac:dyDescent="0.3">
      <c r="B838" s="7"/>
      <c r="C838" s="8"/>
    </row>
    <row r="839" spans="2:3" ht="13.5" customHeight="1" x14ac:dyDescent="0.3">
      <c r="B839" s="7"/>
      <c r="C839" s="8"/>
    </row>
    <row r="840" spans="2:3" ht="13.5" customHeight="1" x14ac:dyDescent="0.3">
      <c r="B840" s="7"/>
      <c r="C840" s="8"/>
    </row>
    <row r="841" spans="2:3" ht="13.5" customHeight="1" x14ac:dyDescent="0.3">
      <c r="B841" s="7"/>
      <c r="C841" s="8"/>
    </row>
    <row r="842" spans="2:3" ht="13.5" customHeight="1" x14ac:dyDescent="0.3">
      <c r="B842" s="7"/>
      <c r="C842" s="8"/>
    </row>
    <row r="843" spans="2:3" ht="13.5" customHeight="1" x14ac:dyDescent="0.3">
      <c r="B843" s="7"/>
      <c r="C843" s="8"/>
    </row>
    <row r="844" spans="2:3" ht="13.5" customHeight="1" x14ac:dyDescent="0.3">
      <c r="B844" s="7"/>
      <c r="C844" s="8"/>
    </row>
    <row r="845" spans="2:3" ht="13.5" customHeight="1" x14ac:dyDescent="0.3">
      <c r="B845" s="7"/>
      <c r="C845" s="8"/>
    </row>
    <row r="846" spans="2:3" ht="13.5" customHeight="1" x14ac:dyDescent="0.3">
      <c r="B846" s="7"/>
      <c r="C846" s="8"/>
    </row>
    <row r="847" spans="2:3" ht="13.5" customHeight="1" x14ac:dyDescent="0.3">
      <c r="B847" s="7"/>
      <c r="C847" s="8"/>
    </row>
    <row r="848" spans="2:3" ht="13.5" customHeight="1" x14ac:dyDescent="0.3">
      <c r="B848" s="7"/>
      <c r="C848" s="8"/>
    </row>
    <row r="849" spans="2:3" ht="13.5" customHeight="1" x14ac:dyDescent="0.3">
      <c r="B849" s="7"/>
      <c r="C849" s="8"/>
    </row>
    <row r="850" spans="2:3" ht="13.5" customHeight="1" x14ac:dyDescent="0.3">
      <c r="B850" s="7"/>
      <c r="C850" s="8"/>
    </row>
    <row r="851" spans="2:3" ht="13.5" customHeight="1" x14ac:dyDescent="0.3">
      <c r="B851" s="7"/>
      <c r="C851" s="8"/>
    </row>
    <row r="852" spans="2:3" ht="13.5" customHeight="1" x14ac:dyDescent="0.3">
      <c r="B852" s="7"/>
      <c r="C852" s="8"/>
    </row>
    <row r="853" spans="2:3" ht="13.5" customHeight="1" x14ac:dyDescent="0.3">
      <c r="B853" s="7"/>
      <c r="C853" s="8"/>
    </row>
    <row r="854" spans="2:3" ht="13.5" customHeight="1" x14ac:dyDescent="0.3">
      <c r="B854" s="7"/>
      <c r="C854" s="8"/>
    </row>
    <row r="855" spans="2:3" ht="13.5" customHeight="1" x14ac:dyDescent="0.3">
      <c r="B855" s="7"/>
      <c r="C855" s="8"/>
    </row>
    <row r="856" spans="2:3" ht="13.5" customHeight="1" x14ac:dyDescent="0.3">
      <c r="B856" s="7"/>
      <c r="C856" s="8"/>
    </row>
    <row r="857" spans="2:3" ht="13.5" customHeight="1" x14ac:dyDescent="0.3">
      <c r="B857" s="7"/>
      <c r="C857" s="8"/>
    </row>
    <row r="858" spans="2:3" ht="13.5" customHeight="1" x14ac:dyDescent="0.3">
      <c r="B858" s="7"/>
      <c r="C858" s="8"/>
    </row>
    <row r="859" spans="2:3" ht="13.5" customHeight="1" x14ac:dyDescent="0.3">
      <c r="B859" s="7"/>
      <c r="C859" s="8"/>
    </row>
    <row r="860" spans="2:3" ht="13.5" customHeight="1" x14ac:dyDescent="0.3">
      <c r="B860" s="7"/>
      <c r="C860" s="8"/>
    </row>
    <row r="861" spans="2:3" ht="13.5" customHeight="1" x14ac:dyDescent="0.3">
      <c r="B861" s="7"/>
      <c r="C861" s="8"/>
    </row>
    <row r="862" spans="2:3" ht="13.5" customHeight="1" x14ac:dyDescent="0.3">
      <c r="B862" s="7"/>
      <c r="C862" s="8"/>
    </row>
    <row r="863" spans="2:3" ht="13.5" customHeight="1" x14ac:dyDescent="0.3">
      <c r="B863" s="7"/>
      <c r="C863" s="8"/>
    </row>
    <row r="864" spans="2:3" ht="13.5" customHeight="1" x14ac:dyDescent="0.3">
      <c r="B864" s="7"/>
      <c r="C864" s="8"/>
    </row>
    <row r="865" spans="2:3" ht="13.5" customHeight="1" x14ac:dyDescent="0.3">
      <c r="B865" s="7"/>
      <c r="C865" s="8"/>
    </row>
    <row r="866" spans="2:3" ht="13.5" customHeight="1" x14ac:dyDescent="0.3">
      <c r="B866" s="7"/>
      <c r="C866" s="8"/>
    </row>
    <row r="867" spans="2:3" ht="13.5" customHeight="1" x14ac:dyDescent="0.3">
      <c r="B867" s="7"/>
      <c r="C867" s="8"/>
    </row>
    <row r="868" spans="2:3" ht="13.5" customHeight="1" x14ac:dyDescent="0.3">
      <c r="B868" s="7"/>
      <c r="C868" s="8"/>
    </row>
    <row r="869" spans="2:3" ht="13.5" customHeight="1" x14ac:dyDescent="0.3">
      <c r="B869" s="7"/>
      <c r="C869" s="8"/>
    </row>
    <row r="870" spans="2:3" ht="13.5" customHeight="1" x14ac:dyDescent="0.3">
      <c r="B870" s="7"/>
      <c r="C870" s="8"/>
    </row>
    <row r="871" spans="2:3" ht="13.5" customHeight="1" x14ac:dyDescent="0.3">
      <c r="B871" s="7"/>
      <c r="C871" s="8"/>
    </row>
    <row r="872" spans="2:3" ht="13.5" customHeight="1" x14ac:dyDescent="0.3">
      <c r="B872" s="7"/>
      <c r="C872" s="8"/>
    </row>
    <row r="873" spans="2:3" ht="13.5" customHeight="1" x14ac:dyDescent="0.3">
      <c r="B873" s="7"/>
      <c r="C873" s="8"/>
    </row>
    <row r="874" spans="2:3" ht="13.5" customHeight="1" x14ac:dyDescent="0.3">
      <c r="B874" s="7"/>
      <c r="C874" s="8"/>
    </row>
    <row r="875" spans="2:3" ht="13.5" customHeight="1" x14ac:dyDescent="0.3">
      <c r="B875" s="7"/>
      <c r="C875" s="8"/>
    </row>
    <row r="876" spans="2:3" ht="13.5" customHeight="1" x14ac:dyDescent="0.3">
      <c r="B876" s="7"/>
      <c r="C876" s="8"/>
    </row>
    <row r="877" spans="2:3" ht="13.5" customHeight="1" x14ac:dyDescent="0.3">
      <c r="B877" s="7"/>
      <c r="C877" s="8"/>
    </row>
    <row r="878" spans="2:3" ht="13.5" customHeight="1" x14ac:dyDescent="0.3">
      <c r="B878" s="7"/>
      <c r="C878" s="8"/>
    </row>
    <row r="879" spans="2:3" ht="13.5" customHeight="1" x14ac:dyDescent="0.3">
      <c r="B879" s="7"/>
      <c r="C879" s="8"/>
    </row>
    <row r="880" spans="2:3" ht="13.5" customHeight="1" x14ac:dyDescent="0.3">
      <c r="B880" s="7"/>
      <c r="C880" s="8"/>
    </row>
    <row r="881" spans="2:3" ht="13.5" customHeight="1" x14ac:dyDescent="0.3">
      <c r="B881" s="7"/>
      <c r="C881" s="8"/>
    </row>
    <row r="882" spans="2:3" ht="13.5" customHeight="1" x14ac:dyDescent="0.3">
      <c r="B882" s="7"/>
      <c r="C882" s="8"/>
    </row>
    <row r="883" spans="2:3" ht="13.5" customHeight="1" x14ac:dyDescent="0.3">
      <c r="B883" s="7"/>
      <c r="C883" s="8"/>
    </row>
    <row r="884" spans="2:3" ht="13.5" customHeight="1" x14ac:dyDescent="0.3">
      <c r="B884" s="7"/>
      <c r="C884" s="8"/>
    </row>
    <row r="885" spans="2:3" ht="13.5" customHeight="1" x14ac:dyDescent="0.3">
      <c r="B885" s="7"/>
      <c r="C885" s="8"/>
    </row>
    <row r="886" spans="2:3" ht="13.5" customHeight="1" x14ac:dyDescent="0.3">
      <c r="B886" s="7"/>
      <c r="C886" s="8"/>
    </row>
    <row r="887" spans="2:3" ht="13.5" customHeight="1" x14ac:dyDescent="0.3">
      <c r="B887" s="7"/>
      <c r="C887" s="8"/>
    </row>
    <row r="888" spans="2:3" ht="13.5" customHeight="1" x14ac:dyDescent="0.3">
      <c r="B888" s="7"/>
      <c r="C888" s="8"/>
    </row>
    <row r="889" spans="2:3" ht="13.5" customHeight="1" x14ac:dyDescent="0.3">
      <c r="B889" s="7"/>
      <c r="C889" s="8"/>
    </row>
    <row r="890" spans="2:3" ht="13.5" customHeight="1" x14ac:dyDescent="0.3">
      <c r="B890" s="7"/>
      <c r="C890" s="8"/>
    </row>
    <row r="891" spans="2:3" ht="13.5" customHeight="1" x14ac:dyDescent="0.3">
      <c r="B891" s="7"/>
      <c r="C891" s="8"/>
    </row>
    <row r="892" spans="2:3" ht="13.5" customHeight="1" x14ac:dyDescent="0.3">
      <c r="B892" s="7"/>
      <c r="C892" s="8"/>
    </row>
    <row r="893" spans="2:3" ht="13.5" customHeight="1" x14ac:dyDescent="0.3">
      <c r="B893" s="7"/>
      <c r="C893" s="8"/>
    </row>
    <row r="894" spans="2:3" ht="13.5" customHeight="1" x14ac:dyDescent="0.3">
      <c r="B894" s="7"/>
      <c r="C894" s="8"/>
    </row>
    <row r="895" spans="2:3" ht="13.5" customHeight="1" x14ac:dyDescent="0.3">
      <c r="B895" s="7"/>
      <c r="C895" s="8"/>
    </row>
    <row r="896" spans="2:3" ht="13.5" customHeight="1" x14ac:dyDescent="0.3">
      <c r="B896" s="7"/>
      <c r="C896" s="8"/>
    </row>
    <row r="897" spans="2:3" ht="13.5" customHeight="1" x14ac:dyDescent="0.3">
      <c r="B897" s="7"/>
      <c r="C897" s="8"/>
    </row>
    <row r="898" spans="2:3" ht="13.5" customHeight="1" x14ac:dyDescent="0.3">
      <c r="B898" s="7"/>
      <c r="C898" s="8"/>
    </row>
    <row r="899" spans="2:3" ht="13.5" customHeight="1" x14ac:dyDescent="0.3">
      <c r="B899" s="7"/>
      <c r="C899" s="8"/>
    </row>
    <row r="900" spans="2:3" ht="13.5" customHeight="1" x14ac:dyDescent="0.3">
      <c r="B900" s="7"/>
      <c r="C900" s="8"/>
    </row>
    <row r="901" spans="2:3" ht="13.5" customHeight="1" x14ac:dyDescent="0.3">
      <c r="B901" s="7"/>
      <c r="C901" s="8"/>
    </row>
    <row r="902" spans="2:3" ht="13.5" customHeight="1" x14ac:dyDescent="0.3">
      <c r="B902" s="7"/>
      <c r="C902" s="8"/>
    </row>
    <row r="903" spans="2:3" ht="13.5" customHeight="1" x14ac:dyDescent="0.3">
      <c r="B903" s="7"/>
      <c r="C903" s="8"/>
    </row>
    <row r="904" spans="2:3" ht="13.5" customHeight="1" x14ac:dyDescent="0.3">
      <c r="B904" s="7"/>
      <c r="C904" s="8"/>
    </row>
    <row r="905" spans="2:3" ht="13.5" customHeight="1" x14ac:dyDescent="0.3">
      <c r="B905" s="7"/>
      <c r="C905" s="8"/>
    </row>
    <row r="906" spans="2:3" ht="13.5" customHeight="1" x14ac:dyDescent="0.3">
      <c r="B906" s="7"/>
      <c r="C906" s="8"/>
    </row>
    <row r="907" spans="2:3" ht="13.5" customHeight="1" x14ac:dyDescent="0.3">
      <c r="B907" s="7"/>
      <c r="C907" s="8"/>
    </row>
    <row r="908" spans="2:3" ht="13.5" customHeight="1" x14ac:dyDescent="0.3">
      <c r="B908" s="7"/>
      <c r="C908" s="8"/>
    </row>
    <row r="909" spans="2:3" ht="13.5" customHeight="1" x14ac:dyDescent="0.3">
      <c r="B909" s="7"/>
      <c r="C909" s="8"/>
    </row>
    <row r="910" spans="2:3" ht="13.5" customHeight="1" x14ac:dyDescent="0.3">
      <c r="B910" s="7"/>
      <c r="C910" s="8"/>
    </row>
    <row r="911" spans="2:3" ht="13.5" customHeight="1" x14ac:dyDescent="0.3">
      <c r="B911" s="7"/>
      <c r="C911" s="8"/>
    </row>
    <row r="912" spans="2:3" ht="13.5" customHeight="1" x14ac:dyDescent="0.3">
      <c r="B912" s="7"/>
      <c r="C912" s="8"/>
    </row>
    <row r="913" spans="2:3" ht="13.5" customHeight="1" x14ac:dyDescent="0.3">
      <c r="B913" s="7"/>
      <c r="C913" s="8"/>
    </row>
    <row r="914" spans="2:3" ht="13.5" customHeight="1" x14ac:dyDescent="0.3">
      <c r="B914" s="7"/>
      <c r="C914" s="8"/>
    </row>
    <row r="915" spans="2:3" ht="13.5" customHeight="1" x14ac:dyDescent="0.3">
      <c r="B915" s="7"/>
      <c r="C915" s="8"/>
    </row>
    <row r="916" spans="2:3" ht="13.5" customHeight="1" x14ac:dyDescent="0.3">
      <c r="B916" s="7"/>
      <c r="C916" s="8"/>
    </row>
    <row r="917" spans="2:3" ht="13.5" customHeight="1" x14ac:dyDescent="0.3">
      <c r="B917" s="7"/>
      <c r="C917" s="8"/>
    </row>
    <row r="918" spans="2:3" ht="13.5" customHeight="1" x14ac:dyDescent="0.3">
      <c r="B918" s="7"/>
      <c r="C918" s="8"/>
    </row>
    <row r="919" spans="2:3" ht="13.5" customHeight="1" x14ac:dyDescent="0.3">
      <c r="B919" s="7"/>
      <c r="C919" s="8"/>
    </row>
    <row r="920" spans="2:3" ht="13.5" customHeight="1" x14ac:dyDescent="0.3">
      <c r="B920" s="7"/>
      <c r="C920" s="8"/>
    </row>
    <row r="921" spans="2:3" ht="13.5" customHeight="1" x14ac:dyDescent="0.3">
      <c r="B921" s="7"/>
      <c r="C921" s="8"/>
    </row>
    <row r="922" spans="2:3" ht="13.5" customHeight="1" x14ac:dyDescent="0.3">
      <c r="B922" s="7"/>
      <c r="C922" s="8"/>
    </row>
    <row r="923" spans="2:3" ht="13.5" customHeight="1" x14ac:dyDescent="0.3">
      <c r="B923" s="7"/>
      <c r="C923" s="8"/>
    </row>
    <row r="924" spans="2:3" ht="13.5" customHeight="1" x14ac:dyDescent="0.3">
      <c r="B924" s="7"/>
      <c r="C924" s="8"/>
    </row>
    <row r="925" spans="2:3" ht="13.5" customHeight="1" x14ac:dyDescent="0.3">
      <c r="B925" s="7"/>
      <c r="C925" s="8"/>
    </row>
    <row r="926" spans="2:3" ht="13.5" customHeight="1" x14ac:dyDescent="0.3">
      <c r="B926" s="7"/>
      <c r="C926" s="8"/>
    </row>
    <row r="927" spans="2:3" ht="13.5" customHeight="1" x14ac:dyDescent="0.3">
      <c r="B927" s="7"/>
      <c r="C927" s="8"/>
    </row>
    <row r="928" spans="2:3" ht="13.5" customHeight="1" x14ac:dyDescent="0.3">
      <c r="B928" s="7"/>
      <c r="C928" s="8"/>
    </row>
    <row r="929" spans="2:3" ht="13.5" customHeight="1" x14ac:dyDescent="0.3">
      <c r="B929" s="7"/>
      <c r="C929" s="8"/>
    </row>
    <row r="930" spans="2:3" ht="13.5" customHeight="1" x14ac:dyDescent="0.3">
      <c r="B930" s="7"/>
      <c r="C930" s="8"/>
    </row>
    <row r="931" spans="2:3" ht="13.5" customHeight="1" x14ac:dyDescent="0.3">
      <c r="B931" s="7"/>
      <c r="C931" s="8"/>
    </row>
    <row r="932" spans="2:3" ht="13.5" customHeight="1" x14ac:dyDescent="0.3">
      <c r="B932" s="7"/>
      <c r="C932" s="8"/>
    </row>
    <row r="933" spans="2:3" ht="13.5" customHeight="1" x14ac:dyDescent="0.3">
      <c r="B933" s="7"/>
      <c r="C933" s="8"/>
    </row>
    <row r="934" spans="2:3" ht="13.5" customHeight="1" x14ac:dyDescent="0.3">
      <c r="B934" s="7"/>
      <c r="C934" s="8"/>
    </row>
    <row r="935" spans="2:3" ht="13.5" customHeight="1" x14ac:dyDescent="0.3">
      <c r="B935" s="7"/>
      <c r="C935" s="8"/>
    </row>
    <row r="936" spans="2:3" ht="13.5" customHeight="1" x14ac:dyDescent="0.3">
      <c r="B936" s="7"/>
      <c r="C936" s="8"/>
    </row>
    <row r="937" spans="2:3" ht="13.5" customHeight="1" x14ac:dyDescent="0.3">
      <c r="B937" s="7"/>
      <c r="C937" s="8"/>
    </row>
    <row r="938" spans="2:3" ht="13.5" customHeight="1" x14ac:dyDescent="0.3">
      <c r="B938" s="7"/>
      <c r="C938" s="8"/>
    </row>
    <row r="939" spans="2:3" ht="13.5" customHeight="1" x14ac:dyDescent="0.3">
      <c r="B939" s="7"/>
      <c r="C939" s="8"/>
    </row>
    <row r="940" spans="2:3" ht="13.5" customHeight="1" x14ac:dyDescent="0.3">
      <c r="B940" s="7"/>
      <c r="C940" s="8"/>
    </row>
    <row r="941" spans="2:3" ht="13.5" customHeight="1" x14ac:dyDescent="0.3">
      <c r="B941" s="7"/>
      <c r="C941" s="8"/>
    </row>
    <row r="942" spans="2:3" ht="13.5" customHeight="1" x14ac:dyDescent="0.3">
      <c r="B942" s="7"/>
      <c r="C942" s="8"/>
    </row>
    <row r="943" spans="2:3" ht="13.5" customHeight="1" x14ac:dyDescent="0.3">
      <c r="B943" s="7"/>
      <c r="C943" s="8"/>
    </row>
    <row r="944" spans="2:3" ht="13.5" customHeight="1" x14ac:dyDescent="0.3">
      <c r="B944" s="7"/>
      <c r="C944" s="8"/>
    </row>
    <row r="945" spans="2:3" ht="13.5" customHeight="1" x14ac:dyDescent="0.3">
      <c r="B945" s="7"/>
      <c r="C945" s="8"/>
    </row>
    <row r="946" spans="2:3" ht="13.5" customHeight="1" x14ac:dyDescent="0.3">
      <c r="B946" s="7"/>
      <c r="C946" s="8"/>
    </row>
    <row r="947" spans="2:3" ht="13.5" customHeight="1" x14ac:dyDescent="0.3">
      <c r="B947" s="7"/>
      <c r="C947" s="8"/>
    </row>
    <row r="948" spans="2:3" ht="13.5" customHeight="1" x14ac:dyDescent="0.3">
      <c r="B948" s="7"/>
      <c r="C948" s="8"/>
    </row>
    <row r="949" spans="2:3" ht="13.5" customHeight="1" x14ac:dyDescent="0.3">
      <c r="B949" s="7"/>
      <c r="C949" s="8"/>
    </row>
    <row r="950" spans="2:3" ht="13.5" customHeight="1" x14ac:dyDescent="0.3">
      <c r="B950" s="7"/>
      <c r="C950" s="8"/>
    </row>
    <row r="951" spans="2:3" ht="13.5" customHeight="1" x14ac:dyDescent="0.3">
      <c r="B951" s="7"/>
      <c r="C951" s="8"/>
    </row>
    <row r="952" spans="2:3" ht="13.5" customHeight="1" x14ac:dyDescent="0.3">
      <c r="B952" s="7"/>
      <c r="C952" s="8"/>
    </row>
    <row r="953" spans="2:3" ht="13.5" customHeight="1" x14ac:dyDescent="0.3">
      <c r="B953" s="7"/>
      <c r="C953" s="8"/>
    </row>
    <row r="954" spans="2:3" ht="13.5" customHeight="1" x14ac:dyDescent="0.3">
      <c r="B954" s="7"/>
      <c r="C954" s="8"/>
    </row>
    <row r="955" spans="2:3" ht="13.5" customHeight="1" x14ac:dyDescent="0.3">
      <c r="B955" s="7"/>
      <c r="C955" s="8"/>
    </row>
    <row r="956" spans="2:3" ht="13.5" customHeight="1" x14ac:dyDescent="0.3">
      <c r="B956" s="7"/>
      <c r="C956" s="8"/>
    </row>
    <row r="957" spans="2:3" ht="13.5" customHeight="1" x14ac:dyDescent="0.3">
      <c r="B957" s="7"/>
      <c r="C957" s="8"/>
    </row>
    <row r="958" spans="2:3" ht="13.5" customHeight="1" x14ac:dyDescent="0.3">
      <c r="B958" s="7"/>
      <c r="C958" s="8"/>
    </row>
    <row r="959" spans="2:3" ht="13.5" customHeight="1" x14ac:dyDescent="0.3">
      <c r="B959" s="7"/>
      <c r="C959" s="8"/>
    </row>
    <row r="960" spans="2:3" ht="13.5" customHeight="1" x14ac:dyDescent="0.3">
      <c r="B960" s="7"/>
      <c r="C960" s="8"/>
    </row>
    <row r="961" spans="2:3" ht="13.5" customHeight="1" x14ac:dyDescent="0.3">
      <c r="B961" s="7"/>
      <c r="C961" s="8"/>
    </row>
    <row r="962" spans="2:3" ht="13.5" customHeight="1" x14ac:dyDescent="0.3">
      <c r="B962" s="7"/>
      <c r="C962" s="8"/>
    </row>
    <row r="963" spans="2:3" ht="13.5" customHeight="1" x14ac:dyDescent="0.3">
      <c r="B963" s="7"/>
      <c r="C963" s="8"/>
    </row>
    <row r="964" spans="2:3" ht="13.5" customHeight="1" x14ac:dyDescent="0.3">
      <c r="B964" s="7"/>
      <c r="C964" s="8"/>
    </row>
    <row r="965" spans="2:3" ht="13.5" customHeight="1" x14ac:dyDescent="0.3">
      <c r="B965" s="7"/>
      <c r="C965" s="8"/>
    </row>
    <row r="966" spans="2:3" ht="13.5" customHeight="1" x14ac:dyDescent="0.3">
      <c r="B966" s="7"/>
      <c r="C966" s="8"/>
    </row>
    <row r="967" spans="2:3" ht="13.5" customHeight="1" x14ac:dyDescent="0.3">
      <c r="B967" s="7"/>
      <c r="C967" s="8"/>
    </row>
    <row r="968" spans="2:3" ht="13.5" customHeight="1" x14ac:dyDescent="0.3">
      <c r="B968" s="7"/>
      <c r="C968" s="8"/>
    </row>
    <row r="969" spans="2:3" ht="13.5" customHeight="1" x14ac:dyDescent="0.3">
      <c r="B969" s="7"/>
      <c r="C969" s="8"/>
    </row>
    <row r="970" spans="2:3" ht="13.5" customHeight="1" x14ac:dyDescent="0.3">
      <c r="B970" s="7"/>
      <c r="C970" s="8"/>
    </row>
    <row r="971" spans="2:3" ht="13.5" customHeight="1" x14ac:dyDescent="0.3">
      <c r="B971" s="7"/>
      <c r="C971" s="8"/>
    </row>
    <row r="972" spans="2:3" ht="13.5" customHeight="1" x14ac:dyDescent="0.3">
      <c r="B972" s="7"/>
      <c r="C972" s="8"/>
    </row>
    <row r="973" spans="2:3" ht="13.5" customHeight="1" x14ac:dyDescent="0.3">
      <c r="B973" s="7"/>
      <c r="C973" s="8"/>
    </row>
    <row r="974" spans="2:3" ht="13.5" customHeight="1" x14ac:dyDescent="0.3">
      <c r="B974" s="7"/>
      <c r="C974" s="8"/>
    </row>
    <row r="975" spans="2:3" ht="13.5" customHeight="1" x14ac:dyDescent="0.3">
      <c r="B975" s="7"/>
      <c r="C975" s="8"/>
    </row>
    <row r="976" spans="2:3" ht="13.5" customHeight="1" x14ac:dyDescent="0.3">
      <c r="B976" s="7"/>
      <c r="C976" s="8"/>
    </row>
    <row r="977" spans="2:3" ht="13.5" customHeight="1" x14ac:dyDescent="0.3">
      <c r="B977" s="7"/>
      <c r="C977" s="8"/>
    </row>
    <row r="978" spans="2:3" ht="13.5" customHeight="1" x14ac:dyDescent="0.3">
      <c r="B978" s="7"/>
      <c r="C978" s="8"/>
    </row>
    <row r="979" spans="2:3" ht="13.5" customHeight="1" x14ac:dyDescent="0.3">
      <c r="B979" s="7"/>
      <c r="C979" s="8"/>
    </row>
    <row r="980" spans="2:3" ht="13.5" customHeight="1" x14ac:dyDescent="0.3">
      <c r="B980" s="7"/>
      <c r="C980" s="8"/>
    </row>
    <row r="981" spans="2:3" ht="13.5" customHeight="1" x14ac:dyDescent="0.3">
      <c r="B981" s="7"/>
      <c r="C981" s="8"/>
    </row>
    <row r="982" spans="2:3" ht="13.5" customHeight="1" x14ac:dyDescent="0.3">
      <c r="B982" s="7"/>
      <c r="C982" s="8"/>
    </row>
    <row r="983" spans="2:3" ht="13.5" customHeight="1" x14ac:dyDescent="0.3">
      <c r="B983" s="7"/>
      <c r="C983" s="8"/>
    </row>
    <row r="984" spans="2:3" ht="13.5" customHeight="1" x14ac:dyDescent="0.3">
      <c r="B984" s="7"/>
      <c r="C984" s="8"/>
    </row>
    <row r="985" spans="2:3" ht="13.5" customHeight="1" x14ac:dyDescent="0.3">
      <c r="B985" s="7"/>
      <c r="C985" s="8"/>
    </row>
    <row r="986" spans="2:3" ht="13.5" customHeight="1" x14ac:dyDescent="0.3">
      <c r="B986" s="7"/>
      <c r="C986" s="8"/>
    </row>
    <row r="987" spans="2:3" ht="13.5" customHeight="1" x14ac:dyDescent="0.3">
      <c r="B987" s="7"/>
      <c r="C987" s="8"/>
    </row>
    <row r="988" spans="2:3" ht="13.5" customHeight="1" x14ac:dyDescent="0.3">
      <c r="B988" s="7"/>
      <c r="C988" s="8"/>
    </row>
    <row r="989" spans="2:3" ht="13.5" customHeight="1" x14ac:dyDescent="0.3">
      <c r="B989" s="7"/>
      <c r="C989" s="8"/>
    </row>
    <row r="990" spans="2:3" ht="13.5" customHeight="1" x14ac:dyDescent="0.3">
      <c r="B990" s="7"/>
      <c r="C990" s="8"/>
    </row>
    <row r="991" spans="2:3" ht="13.5" customHeight="1" x14ac:dyDescent="0.3">
      <c r="B991" s="7"/>
      <c r="C991" s="8"/>
    </row>
    <row r="992" spans="2:3" ht="13.5" customHeight="1" x14ac:dyDescent="0.3">
      <c r="B992" s="7"/>
      <c r="C992" s="8"/>
    </row>
    <row r="993" spans="2:3" ht="13.5" customHeight="1" x14ac:dyDescent="0.3">
      <c r="B993" s="7"/>
      <c r="C993" s="8"/>
    </row>
    <row r="994" spans="2:3" ht="13.5" customHeight="1" x14ac:dyDescent="0.3">
      <c r="B994" s="7"/>
      <c r="C994" s="8"/>
    </row>
    <row r="995" spans="2:3" ht="13.5" customHeight="1" x14ac:dyDescent="0.3">
      <c r="B995" s="7"/>
      <c r="C995" s="8"/>
    </row>
    <row r="996" spans="2:3" ht="13.5" customHeight="1" x14ac:dyDescent="0.3">
      <c r="B996" s="7"/>
      <c r="C996" s="8"/>
    </row>
    <row r="997" spans="2:3" ht="13.5" customHeight="1" x14ac:dyDescent="0.3">
      <c r="B997" s="7"/>
      <c r="C997" s="8"/>
    </row>
    <row r="998" spans="2:3" ht="13.5" customHeight="1" x14ac:dyDescent="0.3">
      <c r="B998" s="7"/>
      <c r="C998" s="8"/>
    </row>
    <row r="999" spans="2:3" ht="13.5" customHeight="1" x14ac:dyDescent="0.3">
      <c r="B999" s="7"/>
      <c r="C999" s="8"/>
    </row>
    <row r="1000" spans="2:3" ht="13.5" customHeight="1" x14ac:dyDescent="0.3">
      <c r="B1000" s="7"/>
      <c r="C1000" s="8"/>
    </row>
  </sheetData>
  <mergeCells count="16">
    <mergeCell ref="F5:F6"/>
    <mergeCell ref="J46:K46"/>
    <mergeCell ref="B5:C5"/>
    <mergeCell ref="K3:K6"/>
    <mergeCell ref="E4:E6"/>
    <mergeCell ref="I4:I6"/>
    <mergeCell ref="G4:G6"/>
    <mergeCell ref="J49:K49"/>
    <mergeCell ref="AA44:AB44"/>
    <mergeCell ref="J45:K45"/>
    <mergeCell ref="H2:H6"/>
    <mergeCell ref="J47:K47"/>
    <mergeCell ref="L3:U6"/>
    <mergeCell ref="J48:K48"/>
    <mergeCell ref="J4:J6"/>
    <mergeCell ref="J44:K44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workbookViewId="0"/>
  </sheetViews>
  <sheetFormatPr defaultColWidth="14.44140625" defaultRowHeight="13.8" x14ac:dyDescent="0.3"/>
  <cols>
    <col min="1" max="1" width="5.6640625" customWidth="1"/>
    <col min="2" max="26" width="8.6640625" customWidth="1"/>
  </cols>
  <sheetData>
    <row r="1" spans="2:11" ht="13.5" customHeight="1" x14ac:dyDescent="0.3"/>
    <row r="2" spans="2:11" ht="13.5" customHeight="1" x14ac:dyDescent="0.3"/>
    <row r="3" spans="2:11" ht="13.5" customHeight="1" x14ac:dyDescent="0.3"/>
    <row r="4" spans="2:11" ht="13.5" customHeight="1" x14ac:dyDescent="0.3"/>
    <row r="5" spans="2:11" ht="13.5" customHeight="1" x14ac:dyDescent="0.4">
      <c r="B5" s="2" t="s">
        <v>288</v>
      </c>
    </row>
    <row r="6" spans="2:11" ht="13.5" customHeight="1" x14ac:dyDescent="0.3"/>
    <row r="7" spans="2:11" ht="13.5" customHeight="1" x14ac:dyDescent="0.3">
      <c r="B7" t="s">
        <v>289</v>
      </c>
    </row>
    <row r="8" spans="2:11" ht="13.5" customHeight="1" x14ac:dyDescent="0.3">
      <c r="B8" s="19" t="s">
        <v>290</v>
      </c>
      <c r="K8" s="19" t="s">
        <v>291</v>
      </c>
    </row>
    <row r="9" spans="2:11" ht="13.5" customHeight="1" x14ac:dyDescent="0.3"/>
    <row r="10" spans="2:11" ht="13.5" customHeight="1" x14ac:dyDescent="0.3"/>
    <row r="11" spans="2:11" ht="13.5" customHeight="1" x14ac:dyDescent="0.3"/>
    <row r="12" spans="2:11" ht="13.5" customHeight="1" x14ac:dyDescent="0.3"/>
    <row r="13" spans="2:11" ht="13.5" customHeight="1" x14ac:dyDescent="0.3"/>
    <row r="14" spans="2:11" ht="13.5" customHeight="1" x14ac:dyDescent="0.3"/>
    <row r="15" spans="2:11" ht="13.5" customHeight="1" x14ac:dyDescent="0.3"/>
    <row r="16" spans="2:11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mc:Ignorable="x14ac xr xr2 xr3" xr:uid="{00000000-0001-0000-0400-000000000000}">
  <sheetPr>
    <tabColor rgb="FF8EAADB"/>
  </sheetPr>
  <dimension ref="B1:AB1000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4.44140625" defaultRowHeight="13.8" ns3:dyDescent="0.3"/>
  <cols>
    <col min="1" max="1" width="5.44140625" customWidth="1"/>
    <col min="2" max="3" width="11.44140625" customWidth="1"/>
    <col min="4" max="4" width="42" customWidth="1"/>
    <col min="5" max="5" width="25" customWidth="1"/>
    <col min="6" max="6" width="13.33203125" customWidth="1"/>
    <col min="7" max="7" width="12.5546875" customWidth="1"/>
    <col min="8" max="11" width="11.5546875" customWidth="1"/>
    <col min="12" max="26" width="5.44140625" customWidth="1"/>
  </cols>
  <sheetData>
    <row r="1" spans="2:26" ht="13.5" customHeight="1" ns3:dyDescent="0.3">
      <c r="B1" s="7"/>
      <c r="C1" s="8"/>
    </row>
    <row r="2" spans="2:26" ht="13.5" customHeight="1" ns3:dyDescent="0.3">
      <c r="B2" s="7"/>
      <c r="C2" s="8"/>
      <c r="H2" s="85" t="s">
        <v>226</v>
      </c>
    </row>
    <row r="3" spans="2:26" ht="13.5" customHeight="1" ns3:dyDescent="0.3">
      <c r="B3" s="7"/>
      <c r="C3" s="8"/>
      <c r="H3" s="79"/>
      <c r="K3" s="89" t="s">
        <v>227</v>
      </c>
      <c r="L3" s="86" t="s">
        <v>228</v>
      </c>
      <c r="M3" s="79"/>
      <c r="N3" s="79"/>
      <c r="O3" s="79"/>
      <c r="P3" s="79"/>
      <c r="Q3" s="79"/>
      <c r="R3" s="79"/>
      <c r="S3" s="79"/>
      <c r="T3" s="79"/>
      <c r="U3" s="79"/>
    </row>
    <row r="4" spans="2:26" ht="12.75" customHeight="1" ns3:dyDescent="0.3">
      <c r="B4" s="7"/>
      <c r="C4" s="8"/>
      <c r="E4" s="87" t="s">
        <v>229</v>
      </c>
      <c r="G4" s="90" t="s">
        <v>230</v>
      </c>
      <c r="H4" s="79"/>
      <c r="I4" s="89" t="s">
        <v>231</v>
      </c>
      <c r="J4" s="85" t="s">
        <v>232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2:26" ht="18" customHeight="1" ns3:dyDescent="0.3">
      <c r="B5" s="88" t="s">
        <v>233</v>
      </c>
      <c r="C5" s="79"/>
      <c r="E5" s="79"/>
      <c r="F5" s="87" t="s">
        <v>234</v>
      </c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</row>
    <row r="6" spans="2:26" ht="13.5" customHeight="1" ns3:dyDescent="0.3">
      <c r="B6" s="9"/>
      <c r="C6" s="8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</row>
    <row r="7" spans="2:26" ht="34.5" customHeight="1" ns3:dyDescent="0.3">
      <c r="B7" s="69" t="s">
        <v>235</v>
      </c>
      <c r="C7" s="69" t="s">
        <v>236</v>
      </c>
      <c r="D7" s="69" t="s">
        <v>44</v>
      </c>
      <c r="E7" s="69" t="s">
        <v>65</v>
      </c>
      <c r="F7" s="69" t="s">
        <v>20</v>
      </c>
      <c r="G7" s="69" t="s">
        <v>237</v>
      </c>
      <c r="H7" s="69" t="s">
        <v>238</v>
      </c>
      <c r="I7" s="69" t="s">
        <v>239</v>
      </c>
      <c r="J7" s="69" t="s">
        <v>240</v>
      </c>
      <c r="K7" s="69" t="s">
        <v>241</v>
      </c>
      <c r="L7" s="69" t="s">
        <v>242</v>
      </c>
      <c r="M7" s="69" t="s">
        <v>243</v>
      </c>
      <c r="N7" s="69" t="s">
        <v>244</v>
      </c>
      <c r="O7" s="69" t="s">
        <v>245</v>
      </c>
      <c r="P7" s="69" t="s">
        <v>246</v>
      </c>
      <c r="Q7" s="69" t="s">
        <v>247</v>
      </c>
      <c r="R7" s="69" t="s">
        <v>248</v>
      </c>
      <c r="S7" s="69" t="s">
        <v>249</v>
      </c>
      <c r="T7" s="69" t="s">
        <v>250</v>
      </c>
      <c r="U7" s="69" t="s">
        <v>251</v>
      </c>
      <c r="V7" s="69" t="s">
        <v>252</v>
      </c>
      <c r="W7" s="69" t="s">
        <v>253</v>
      </c>
      <c r="X7" s="69" t="s">
        <v>254</v>
      </c>
      <c r="Y7" s="69" t="s">
        <v>255</v>
      </c>
      <c r="Z7" s="69" t="s">
        <v>256</v>
      </c>
    </row>
    <row r="8" spans="2:26" ht="45" customHeight="1" ns3:dyDescent="0.3">
      <c r="B8" s="211" t="inlineStr">
        <is>
          <t>2.01</t>
        </is>
      </c>
      <c r="C8" s="211" t="inlineStr">
        <is>
          <t>PB05</t>
        </is>
      </c>
      <c r="D8" s="211" t="inlineStr">
        <is>
          <t>Identify changed files, functions, classes and modules</t>
        </is>
      </c>
      <c r="E8" s="211" t="inlineStr">
        <is>
          <t>Do Ha An</t>
        </is>
      </c>
      <c r="F8" s="211" t="inlineStr">
        <is>
          <t>Not started</t>
        </is>
      </c>
      <c r="G8" s="212" t="n">
        <v>20</v>
      </c>
      <c r="H8" s="177" t="n">
        <f>SUM(L8:Z8)</f>
        <v>0</v>
      </c>
      <c r="I8" s="177" t="n">
        <f>G8-H8</f>
        <v>20</v>
      </c>
      <c r="J8" s="71">
        <v>0</v>
      </c>
      <c r="K8" s="177" t="str">
        <f>IF(F8="Done",J8-G8,"")</f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2:26" ht="45" customHeight="1" ns3:dyDescent="0.3">
      <c r="B9" s="211" t="inlineStr">
        <is>
          <t>2.02</t>
        </is>
      </c>
      <c r="C9" s="211" t="inlineStr">
        <is>
          <t>PB05</t>
        </is>
      </c>
      <c r="D9" s="211" t="inlineStr">
        <is>
          <t>Validate changed-component locations independently</t>
        </is>
      </c>
      <c r="E9" s="211" t="inlineStr">
        <is>
          <t>Dang Dai Viet</t>
        </is>
      </c>
      <c r="F9" s="211" t="inlineStr">
        <is>
          <t>Not started</t>
        </is>
      </c>
      <c r="G9" s="212" t="n">
        <v>8</v>
      </c>
      <c r="H9" s="177" t="n">
        <f>SUM(L9:Z9)</f>
        <v>0</v>
      </c>
      <c r="I9" s="177" t="n">
        <f>G9-H9</f>
        <v>8</v>
      </c>
      <c r="J9" s="71">
        <v>0</v>
      </c>
      <c r="K9" s="177" t="str">
        <f>IF(F9="Done",J9-G9,"")</f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2:26" ht="45" customHeight="1" ns3:dyDescent="0.3">
      <c r="B10" s="211" t="inlineStr">
        <is>
          <t>2.03</t>
        </is>
      </c>
      <c r="C10" s="211" t="inlineStr">
        <is>
          <t>PB06</t>
        </is>
      </c>
      <c r="D10" s="211" t="inlineStr">
        <is>
          <t>Build supported static dependency graph</t>
        </is>
      </c>
      <c r="E10" s="211" t="inlineStr">
        <is>
          <t>Pham Phan Hoang Huy</t>
        </is>
      </c>
      <c r="F10" s="214" t="inlineStr">
        <is>
          <t>Not started</t>
        </is>
      </c>
      <c r="G10" s="212" t="n">
        <v>16</v>
      </c>
      <c r="H10" s="177" t="n">
        <f>SUM(L10:Z10)</f>
        <v>0</v>
      </c>
      <c r="I10" s="177" t="n">
        <f>G10-H10</f>
        <v>16</v>
      </c>
      <c r="J10" s="71">
        <v>0</v>
      </c>
      <c r="K10" s="177" t="str">
        <f>IF(F10="Done",J10-G10,"")</f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2:26" ht="45" customHeight="1" ns3:dyDescent="0.3">
      <c r="B11" s="211" t="inlineStr">
        <is>
          <t>2.04</t>
        </is>
      </c>
      <c r="C11" s="211" t="inlineStr">
        <is>
          <t>PB06</t>
        </is>
      </c>
      <c r="D11" s="211" t="inlineStr">
        <is>
          <t>Traverse reverse-reachable potential impact and cycles</t>
        </is>
      </c>
      <c r="E11" s="211" t="inlineStr">
        <is>
          <t>Pham Phan Hoang Huy</t>
        </is>
      </c>
      <c r="F11" s="211" t="inlineStr">
        <is>
          <t>Not started</t>
        </is>
      </c>
      <c r="G11" s="212" t="n">
        <v>12</v>
      </c>
      <c r="H11" s="177" t="n">
        <f>SUM(L11:Z11)</f>
        <v>0</v>
      </c>
      <c r="I11" s="177" t="n">
        <f>G11-H11</f>
        <v>12</v>
      </c>
      <c r="J11" s="71">
        <v>0</v>
      </c>
      <c r="K11" s="177" t="str">
        <f>IF(F11="Done",J11-G11,"")</f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2:26" ht="45" customHeight="1" ns3:dyDescent="0.3">
      <c r="B12" s="211" t="inlineStr">
        <is>
          <t>2.05</t>
        </is>
      </c>
      <c r="C12" s="211" t="inlineStr">
        <is>
          <t>PB06</t>
        </is>
      </c>
      <c r="D12" s="211" t="inlineStr">
        <is>
          <t>Persist dependency paths and source evidence</t>
        </is>
      </c>
      <c r="E12" s="211" t="inlineStr">
        <is>
          <t>Nguyen Tan Huy</t>
        </is>
      </c>
      <c r="F12" s="211" t="inlineStr">
        <is>
          <t>Not started</t>
        </is>
      </c>
      <c r="G12" s="212" t="n">
        <v>8</v>
      </c>
      <c r="H12" s="177" t="n">
        <f>SUM(L12:Z12)</f>
        <v>0</v>
      </c>
      <c r="I12" s="177" t="n">
        <f>G12-H12</f>
        <v>8</v>
      </c>
      <c r="J12" s="71">
        <v>0</v>
      </c>
      <c r="K12" s="177" t="str">
        <f>IF(F12="Done",J12-G12,"")</f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2:26" ht="45" customHeight="1" ns3:dyDescent="0.3">
      <c r="B13" s="211" t="inlineStr">
        <is>
          <t>2.06</t>
        </is>
      </c>
      <c r="C13" s="211" t="inlineStr">
        <is>
          <t>PB07</t>
        </is>
      </c>
      <c r="D13" s="211" t="inlineStr">
        <is>
          <t>Explain potential impact and inspect individual evidence items</t>
        </is>
      </c>
      <c r="E13" s="211" t="inlineStr">
        <is>
          <t>Nguyen Tan Huy</t>
        </is>
      </c>
      <c r="F13" s="211" t="inlineStr">
        <is>
          <t>Not started</t>
        </is>
      </c>
      <c r="G13" s="212" t="n">
        <v>12</v>
      </c>
      <c r="H13" s="177" t="n">
        <f>SUM(L13:Z13)</f>
        <v>0</v>
      </c>
      <c r="I13" s="177" t="n">
        <f>G13-H13</f>
        <v>12</v>
      </c>
      <c r="J13" s="71">
        <v>0</v>
      </c>
      <c r="K13" s="177" t="str">
        <f>IF(F13="Done",J13-G13,"")</f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2:26" ht="45" customHeight="1" ns3:dyDescent="0.3">
      <c r="B14" s="211" t="inlineStr">
        <is>
          <t>2.07</t>
        </is>
      </c>
      <c r="C14" s="211" t="inlineStr">
        <is>
          <t>PB08</t>
        </is>
      </c>
      <c r="D14" s="211" t="inlineStr">
        <is>
          <t>Order review starting points deterministically</t>
        </is>
      </c>
      <c r="E14" s="214" t="inlineStr">
        <is>
          <t>Dang Dai Viet</t>
        </is>
      </c>
      <c r="F14" s="214" t="inlineStr">
        <is>
          <t>Not started</t>
        </is>
      </c>
      <c r="G14" s="212" t="n">
        <v>8</v>
      </c>
      <c r="H14" s="177" t="n">
        <f>SUM(L14:Z14)</f>
        <v>0</v>
      </c>
      <c r="I14" s="177" t="n">
        <f>G14-H14</f>
        <v>8</v>
      </c>
      <c r="J14" s="71">
        <v>0</v>
      </c>
      <c r="K14" s="177" t="str">
        <f>IF(F14="Done",J14-G14,"")</f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2:26" ht="45" customHeight="1" ns3:dyDescent="0.3">
      <c r="B15" s="211" t="inlineStr">
        <is>
          <t>2.08</t>
        </is>
      </c>
      <c r="C15" s="211" t="inlineStr">
        <is>
          <t>PB09</t>
        </is>
      </c>
      <c r="D15" s="211" t="inlineStr">
        <is>
          <t>Discover existing target tests in isolation</t>
        </is>
      </c>
      <c r="E15" s="211" t="inlineStr">
        <is>
          <t>Tran Hung Khanh</t>
        </is>
      </c>
      <c r="F15" s="211" t="inlineStr">
        <is>
          <t>Not started</t>
        </is>
      </c>
      <c r="G15" s="212" t="n">
        <v>12</v>
      </c>
      <c r="H15" s="177" t="n">
        <f>SUM(L15:Z15)</f>
        <v>0</v>
      </c>
      <c r="I15" s="177" t="n">
        <f>G15-H15</f>
        <v>12</v>
      </c>
      <c r="J15" s="71">
        <v>0</v>
      </c>
      <c r="K15" s="177" t="str">
        <f>IF(F15="Done",J15-G15,"")</f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2:26" ht="45" customHeight="1" ns3:dyDescent="0.3">
      <c r="B16" s="211" t="inlineStr">
        <is>
          <t>2.09</t>
        </is>
      </c>
      <c r="C16" s="211" t="inlineStr">
        <is>
          <t>PB09</t>
        </is>
      </c>
      <c r="D16" s="211" t="inlineStr">
        <is>
          <t>Distinguish empty, incomplete and failed discovery</t>
        </is>
      </c>
      <c r="E16" s="211" t="inlineStr">
        <is>
          <t>Tran Hung Khanh</t>
        </is>
      </c>
      <c r="F16" s="211" t="inlineStr">
        <is>
          <t>Not started</t>
        </is>
      </c>
      <c r="G16" s="212" t="n">
        <v>6</v>
      </c>
      <c r="H16" s="177" t="n">
        <f>SUM(L16:Z16)</f>
        <v>0</v>
      </c>
      <c r="I16" s="177" t="n">
        <f>G16-H16</f>
        <v>6</v>
      </c>
      <c r="J16" s="71">
        <v>0</v>
      </c>
      <c r="K16" s="177" t="str">
        <f>IF(F16="Done",J16-G16,"")</f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2:26" ht="45" customHeight="1" ns3:dyDescent="0.3">
      <c r="B17" s="216" t="inlineStr">
        <is>
          <t>2.10</t>
        </is>
      </c>
      <c r="C17" s="211" t="inlineStr">
        <is>
          <t>PB19</t>
        </is>
      </c>
      <c r="D17" s="211" t="inlineStr">
        <is>
          <t>Index permitted source, tests and documentation by snapshot</t>
        </is>
      </c>
      <c r="E17" s="211" t="inlineStr">
        <is>
          <t>Pham Phan Hoang Huy</t>
        </is>
      </c>
      <c r="F17" s="211" t="inlineStr">
        <is>
          <t>Not started</t>
        </is>
      </c>
      <c r="G17" s="212" t="n">
        <v>16</v>
      </c>
      <c r="H17" s="177" t="n">
        <f>SUM(L17:Z17)</f>
        <v>0</v>
      </c>
      <c r="I17" s="177" t="n">
        <f>G17-H17</f>
        <v>16</v>
      </c>
      <c r="J17" s="71">
        <v>0</v>
      </c>
      <c r="K17" s="177" t="str">
        <f>IF(F17="Done",J17-G17,"")</f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2:26" ht="45" customHeight="1" ns3:dyDescent="0.3">
      <c r="B18" s="211" t="inlineStr">
        <is>
          <t>2.11</t>
        </is>
      </c>
      <c r="C18" s="211" t="inlineStr">
        <is>
          <t>PB20</t>
        </is>
      </c>
      <c r="D18" s="211" t="inlineStr">
        <is>
          <t>Retrieve context from diff and candidate components</t>
        </is>
      </c>
      <c r="E18" s="211" t="inlineStr">
        <is>
          <t>Pham Phan Hoang Huy</t>
        </is>
      </c>
      <c r="F18" s="211" t="inlineStr">
        <is>
          <t>Not started</t>
        </is>
      </c>
      <c r="G18" s="212" t="n">
        <v>12</v>
      </c>
      <c r="H18" s="177" t="n">
        <f>SUM(L18:Z18)</f>
        <v>0</v>
      </c>
      <c r="I18" s="177" t="n">
        <f>G18-H18</f>
        <v>12</v>
      </c>
      <c r="J18" s="71">
        <v>0</v>
      </c>
      <c r="K18" s="177" t="str">
        <f>IF(F18="Done",J18-G18,"")</f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2:26" ht="45" customHeight="1" ns3:dyDescent="0.3">
      <c r="B19" s="211" t="inlineStr">
        <is>
          <t>2.12</t>
        </is>
      </c>
      <c r="C19" s="211" t="inlineStr">
        <is>
          <t>PB20</t>
        </is>
      </c>
      <c r="D19" s="211" t="inlineStr">
        <is>
          <t>Rank, deduplicate and verify retrieval metadata</t>
        </is>
      </c>
      <c r="E19" s="211" t="inlineStr">
        <is>
          <t>Dang Dai Viet</t>
        </is>
      </c>
      <c r="F19" s="211" t="inlineStr">
        <is>
          <t>Not started</t>
        </is>
      </c>
      <c r="G19" s="212" t="n">
        <v>8</v>
      </c>
      <c r="H19" s="177" t="n">
        <f>SUM(L19:Z19)</f>
        <v>0</v>
      </c>
      <c r="I19" s="177" t="n">
        <f>G19-H19</f>
        <v>8</v>
      </c>
      <c r="J19" s="71">
        <v>0</v>
      </c>
      <c r="K19" s="177" t="str">
        <f>IF(F19="Done",J19-G19,"")</f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2:26" ht="45" customHeight="1" ns3:dyDescent="0.3">
      <c r="B20" s="216" t="inlineStr">
        <is>
          <t>2.13</t>
        </is>
      </c>
      <c r="C20" s="211" t="inlineStr">
        <is>
          <t>PB04</t>
        </is>
      </c>
      <c r="D20" s="211" t="inlineStr">
        <is>
          <t>Integrate workflow incrementally and prepare Sprint 2 demo</t>
        </is>
      </c>
      <c r="E20" s="211" t="inlineStr">
        <is>
          <t>Nguyen Tan Huy</t>
        </is>
      </c>
      <c r="F20" s="211" t="inlineStr">
        <is>
          <t>Not started</t>
        </is>
      </c>
      <c r="G20" s="212" t="n">
        <v>12</v>
      </c>
      <c r="H20" s="177" t="n">
        <f>SUM(L20:Z20)</f>
        <v>0</v>
      </c>
      <c r="I20" s="177" t="n">
        <f>G20-H20</f>
        <v>12</v>
      </c>
      <c r="J20" s="71">
        <v>0</v>
      </c>
      <c r="K20" s="177" t="str">
        <f>IF(F20="Done",J20-G20,"")</f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2:26" ht="45" customHeight="1" ns3:dyDescent="0.3">
      <c r="B21" s="216" t="inlineStr">
        <is>
          <t>2.14</t>
        </is>
      </c>
      <c r="C21" s="211" t="inlineStr">
        <is>
          <t>PB04</t>
        </is>
      </c>
      <c r="D21" s="211" t="inlineStr">
        <is>
          <t>Define integration contracts and stage reports</t>
        </is>
      </c>
      <c r="E21" s="211" t="inlineStr">
        <is>
          <t>Nguyen Tan Huy</t>
        </is>
      </c>
      <c r="F21" s="211" t="inlineStr">
        <is>
          <t>Not started</t>
        </is>
      </c>
      <c r="G21" s="212" t="n">
        <v>12</v>
      </c>
      <c r="H21" s="177" t="n">
        <f>SUM(L21:Z21)</f>
        <v>0</v>
      </c>
      <c r="I21" s="177" t="n">
        <f>G21-H21</f>
        <v>12</v>
      </c>
      <c r="J21" s="177" t="n">
        <v>0</v>
      </c>
      <c r="K21" s="177" t="str">
        <f>IF(F21="Done",J21-G21,"")</f>
      </c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</row>
    <row r="22" spans="2:26" ht="45" customHeight="1" ns3:dyDescent="0.3">
      <c r="B22" s="216" t="inlineStr">
        <is>
          <t>2.15</t>
        </is>
      </c>
      <c r="C22" s="211" t="inlineStr">
        <is>
          <t>PB03</t>
        </is>
      </c>
      <c r="D22" s="211" t="inlineStr">
        <is>
          <t>Prepare authorized immutable snapshots</t>
        </is>
      </c>
      <c r="E22" s="211" t="inlineStr">
        <is>
          <t>Do Ha An</t>
        </is>
      </c>
      <c r="F22" s="211" t="inlineStr">
        <is>
          <t>Not started</t>
        </is>
      </c>
      <c r="G22" s="212" t="n">
        <v>10</v>
      </c>
      <c r="H22" s="177" t="n">
        <f>SUM(L22:Z22)</f>
        <v>0</v>
      </c>
      <c r="I22" s="177" t="n">
        <f>G22-H22</f>
        <v>10</v>
      </c>
      <c r="J22" s="177" t="n">
        <v>0</v>
      </c>
      <c r="K22" s="177" t="str">
        <f>IF(F22="Done",J22-G22,"")</f>
      </c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</row>
    <row r="23" spans="2:26" ht="45" customHeight="1" ns3:dyDescent="0.3">
      <c r="B23" s="216" t="inlineStr">
        <is>
          <t>2.16</t>
        </is>
      </c>
      <c r="C23" s="211" t="inlineStr">
        <is>
          <t>PB06/PB09</t>
        </is>
      </c>
      <c r="D23" s="211" t="inlineStr">
        <is>
          <t>Map components to existing target test IDs</t>
        </is>
      </c>
      <c r="E23" s="211" t="inlineStr">
        <is>
          <t>Tran Hung Khanh</t>
        </is>
      </c>
      <c r="F23" s="211" t="inlineStr">
        <is>
          <t>Not started</t>
        </is>
      </c>
      <c r="G23" s="212" t="n">
        <v>8</v>
      </c>
      <c r="H23" s="177" t="n">
        <f>SUM(L23:Z23)</f>
        <v>0</v>
      </c>
      <c r="I23" s="177" t="n">
        <f>G23-H23</f>
        <v>8</v>
      </c>
      <c r="J23" s="177" t="n">
        <v>0</v>
      </c>
      <c r="K23" s="177" t="str">
        <f>IF(F23="Done",J23-G23,"")</f>
      </c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</row>
    <row r="24" spans="2:26" ht="45" customHeight="1" ns3:dyDescent="0.3">
      <c r="B24" s="216" t="inlineStr">
        <is>
          <t>2.17</t>
        </is>
      </c>
      <c r="C24" s="211" t="inlineStr">
        <is>
          <t>PB06/07/09/20</t>
        </is>
      </c>
      <c r="D24" s="211" t="inlineStr">
        <is>
          <t>Propagate analysis coverage and limitations</t>
        </is>
      </c>
      <c r="E24" s="211" t="inlineStr">
        <is>
          <t>Do Ha An</t>
        </is>
      </c>
      <c r="F24" s="211" t="inlineStr">
        <is>
          <t>Not started</t>
        </is>
      </c>
      <c r="G24" s="212" t="n">
        <v>10</v>
      </c>
      <c r="H24" s="177" t="n">
        <f>SUM(L24:Z24)</f>
        <v>0</v>
      </c>
      <c r="I24" s="177" t="n">
        <f>G24-H24</f>
        <v>10</v>
      </c>
      <c r="J24" s="177" t="n">
        <v>0</v>
      </c>
      <c r="K24" s="177" t="str">
        <f>IF(F24="Done",J24-G24,"")</f>
      </c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</row>
    <row r="25" spans="2:26" ht="45" customHeight="1" ns3:dyDescent="0.3">
      <c r="B25" s="216" t="inlineStr">
        <is>
          <t>2.18</t>
        </is>
      </c>
      <c r="C25" s="211" t="inlineStr">
        <is>
          <t>PB05/PB07</t>
        </is>
      </c>
      <c r="D25" s="211" t="inlineStr">
        <is>
          <t>Integrate real-report inspection UI</t>
        </is>
      </c>
      <c r="E25" s="211" t="inlineStr">
        <is>
          <t>Dang Dai Viet</t>
        </is>
      </c>
      <c r="F25" s="211" t="inlineStr">
        <is>
          <t>Not started</t>
        </is>
      </c>
      <c r="G25" s="212" t="n">
        <v>10</v>
      </c>
      <c r="H25" s="177" t="n">
        <f>SUM(L25:Z25)</f>
        <v>0</v>
      </c>
      <c r="I25" s="177" t="n">
        <f>G25-H25</f>
        <v>10</v>
      </c>
      <c r="J25" s="177" t="n">
        <v>0</v>
      </c>
      <c r="K25" s="177" t="str">
        <f>IF(F25="Done",J25-G25,"")</f>
      </c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</row>
    <row r="26" spans="2:26" ht="45" customHeight="1" ns3:dyDescent="0.3">
      <c r="B26" s="216" t="inlineStr">
        <is>
          <t>2.19</t>
        </is>
      </c>
      <c r="C26" s="211" t="inlineStr">
        <is>
          <t>Integration</t>
        </is>
      </c>
      <c r="D26" s="211" t="inlineStr">
        <is>
          <t>Verify cross-module integrity and failure regressions</t>
        </is>
      </c>
      <c r="E26" s="211" t="inlineStr">
        <is>
          <t>Tran Hung Khanh</t>
        </is>
      </c>
      <c r="F26" s="211" t="inlineStr">
        <is>
          <t>Not started</t>
        </is>
      </c>
      <c r="G26" s="212" t="n">
        <v>8</v>
      </c>
      <c r="H26" s="177" t="n">
        <f>SUM(L26:Z26)</f>
        <v>0</v>
      </c>
      <c r="I26" s="177" t="n">
        <f>G26-H26</f>
        <v>8</v>
      </c>
      <c r="J26" s="177" t="n">
        <v>0</v>
      </c>
      <c r="K26" s="177" t="str">
        <f>IF(F26="Done",J26-G26,"")</f>
      </c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</row>
    <row r="27" spans="2:26" ht="45" customHeight="1" ns3:dyDescent="0.3">
      <c r="B27" s="216" t="inlineStr">
        <is>
          <t>2.20</t>
        </is>
      </c>
      <c r="C27" s="211" t="inlineStr">
        <is>
          <t>PB04/06/09/19/20</t>
        </is>
      </c>
      <c r="D27" s="211" t="inlineStr">
        <is>
          <t>Establish PostgreSQL persistence foundation</t>
        </is>
      </c>
      <c r="E27" s="211" t="inlineStr">
        <is>
          <t>Nguyen Tan Huy</t>
        </is>
      </c>
      <c r="F27" s="211" t="inlineStr">
        <is>
          <t>Not started</t>
        </is>
      </c>
      <c r="G27" s="212" t="n">
        <v>24</v>
      </c>
      <c r="H27" s="177" t="n">
        <f>SUM(L27:Z27)</f>
        <v>0</v>
      </c>
      <c r="I27" s="177" t="n">
        <f>G27-H27</f>
        <v>24</v>
      </c>
      <c r="J27" s="177" t="n">
        <v>0</v>
      </c>
      <c r="K27" s="177" t="str">
        <f>IF(F27="Done",J27-G27,"")</f>
      </c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</row>
    <row r="28" spans="2:26" ht="13.5" customHeight="1" ns3:dyDescent="0.3">
      <c r="B28" s="11"/>
      <c r="C28" s="5"/>
      <c r="D28" s="36"/>
      <c r="E28" s="4"/>
      <c r="F28" s="4"/>
      <c r="G28" s="51"/>
      <c r="H28" s="52"/>
      <c r="I28" s="52"/>
      <c r="J28" s="52"/>
      <c r="K28" s="52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2:26" ht="13.5" customHeight="1" ns3:dyDescent="0.3">
      <c r="B29" s="11"/>
      <c r="C29" s="5"/>
      <c r="D29" s="36"/>
      <c r="E29" s="4"/>
      <c r="F29" s="4"/>
      <c r="G29" s="51"/>
      <c r="H29" s="52"/>
      <c r="I29" s="52"/>
      <c r="J29" s="52"/>
      <c r="K29" s="52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2:26" ht="13.5" customHeight="1" ns3:dyDescent="0.3">
      <c r="B30" s="11"/>
      <c r="C30" s="5"/>
      <c r="D30" s="36"/>
      <c r="E30" s="4"/>
      <c r="F30" s="4"/>
      <c r="G30" s="51"/>
      <c r="H30" s="52"/>
      <c r="I30" s="52"/>
      <c r="J30" s="52"/>
      <c r="K30" s="5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2:26" ht="13.5" customHeight="1" ns3:dyDescent="0.3">
      <c r="B31" s="11"/>
      <c r="C31" s="5"/>
      <c r="D31" s="36"/>
      <c r="E31" s="4"/>
      <c r="F31" s="4"/>
      <c r="G31" s="51"/>
      <c r="H31" s="52"/>
      <c r="I31" s="52"/>
      <c r="J31" s="52"/>
      <c r="K31" s="5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2:26" ht="13.5" customHeight="1" ns3:dyDescent="0.3">
      <c r="B32" s="11"/>
      <c r="C32" s="5"/>
      <c r="D32" s="36"/>
      <c r="E32" s="4"/>
      <c r="F32" s="4"/>
      <c r="G32" s="51"/>
      <c r="H32" s="52"/>
      <c r="I32" s="52"/>
      <c r="J32" s="52"/>
      <c r="K32" s="5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2:28" ht="13.5" customHeight="1" ns3:dyDescent="0.3">
      <c r="B33" s="11"/>
      <c r="C33" s="5"/>
      <c r="D33" s="36"/>
      <c r="E33" s="4"/>
      <c r="F33" s="4"/>
      <c r="G33" s="51"/>
      <c r="H33" s="52"/>
      <c r="I33" s="52"/>
      <c r="J33" s="52"/>
      <c r="K33" s="52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2:28" ht="13.5" customHeight="1" ns3:dyDescent="0.3">
      <c r="B34" s="11"/>
      <c r="C34" s="5"/>
      <c r="D34" s="36"/>
      <c r="E34" s="4"/>
      <c r="F34" s="4"/>
      <c r="G34" s="51"/>
      <c r="H34" s="52"/>
      <c r="I34" s="52"/>
      <c r="J34" s="52"/>
      <c r="K34" s="52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2:28" ht="13.5" customHeight="1" ns3:dyDescent="0.3">
      <c r="B35" s="11"/>
      <c r="C35" s="5"/>
      <c r="D35" s="36"/>
      <c r="E35" s="4"/>
      <c r="F35" s="4"/>
      <c r="G35" s="51"/>
      <c r="H35" s="52"/>
      <c r="I35" s="52"/>
      <c r="J35" s="52"/>
      <c r="K35" s="52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2:28" ht="13.5" customHeight="1" ns3:dyDescent="0.3">
      <c r="B36" s="11"/>
      <c r="C36" s="5"/>
      <c r="D36" s="36"/>
      <c r="E36" s="4"/>
      <c r="F36" s="4"/>
      <c r="G36" s="51"/>
      <c r="H36" s="52"/>
      <c r="I36" s="52"/>
      <c r="J36" s="52"/>
      <c r="K36" s="52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2:28" ht="13.5" customHeight="1" ns3:dyDescent="0.3">
      <c r="B37" s="12"/>
      <c r="C37" s="13"/>
      <c r="D37" s="14"/>
      <c r="E37" s="14"/>
      <c r="F37" s="15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2:28" ht="13.5" customHeight="1" ns3:dyDescent="0.3">
      <c r="B38" s="16"/>
      <c r="C38" s="17"/>
      <c r="D38" s="18"/>
      <c r="E38" s="18"/>
      <c r="F38" s="74" t="s">
        <v>282</v>
      </c>
      <c r="G38" s="181" t="n">
        <f>SUM(G8:G27)</f>
        <v>232</v>
      </c>
      <c r="H38" s="181" t="n">
        <f>SUM(H8:H27)</f>
        <v>0</v>
      </c>
      <c r="I38" s="181" t="n">
        <f>SUM(I8:I27)</f>
        <v>232</v>
      </c>
      <c r="J38" s="181" t="n">
        <f>SUM(J8:J27)</f>
        <v>0</v>
      </c>
      <c r="K38" s="181" t="str">
        <f>IF(COUNTIF(F8:F27,"Done")=COUNTA(B8:B27),J38-G38,"")</f>
      </c>
      <c r="L38" s="181" t="n">
        <f>SUM(L8:L27)</f>
        <v>0</v>
      </c>
      <c r="M38" s="181" t="n">
        <f>SUM(M8:M27)</f>
        <v>0</v>
      </c>
      <c r="N38" s="181" t="n">
        <f>SUM(N8:N27)</f>
        <v>0</v>
      </c>
      <c r="O38" s="181" t="n">
        <f>SUM(O8:O27)</f>
        <v>0</v>
      </c>
      <c r="P38" s="181" t="n">
        <f>SUM(P8:P27)</f>
        <v>0</v>
      </c>
      <c r="Q38" s="181" t="n">
        <f>SUM(Q8:Q27)</f>
        <v>0</v>
      </c>
      <c r="R38" s="181" t="n">
        <f>SUM(R8:R27)</f>
        <v>0</v>
      </c>
      <c r="S38" s="181" t="n">
        <f>SUM(S8:S27)</f>
        <v>0</v>
      </c>
      <c r="T38" s="181" t="n">
        <f>SUM(T8:T27)</f>
        <v>0</v>
      </c>
      <c r="U38" s="181" t="n">
        <f>SUM(U8:U27)</f>
        <v>0</v>
      </c>
      <c r="V38" s="181" t="n">
        <f>SUM(V8:V27)</f>
        <v>0</v>
      </c>
      <c r="W38" s="181" t="n">
        <f>SUM(W8:W27)</f>
        <v>0</v>
      </c>
      <c r="X38" s="181" t="n">
        <f>SUM(X8:X27)</f>
        <v>0</v>
      </c>
      <c r="Y38" s="181" t="n">
        <f>SUM(Y8:Y27)</f>
        <v>0</v>
      </c>
      <c r="Z38" s="181" t="n">
        <f>SUM(Z8:Z27)</f>
        <v>0</v>
      </c>
    </row>
    <row r="39" spans="2:28" ht="13.5" customHeight="1" ns3:dyDescent="0.3">
      <c r="B39" s="16"/>
      <c r="C39" s="17"/>
      <c r="D39" s="18"/>
      <c r="E39" s="18"/>
      <c r="F39" s="74" t="s">
        <v>283</v>
      </c>
      <c r="G39" s="53"/>
      <c r="H39" s="53"/>
      <c r="I39" s="53"/>
      <c r="J39" s="53"/>
      <c r="K39" s="53"/>
      <c r="L39" s="181" t="n">
        <f>G38-L38</f>
        <v>232</v>
      </c>
      <c r="M39" s="181" t="n">
        <f>L39-M38</f>
        <v>232</v>
      </c>
      <c r="N39" s="181" t="n">
        <f>M39-N38</f>
        <v>232</v>
      </c>
      <c r="O39" s="181" t="n">
        <f>N39-O38</f>
        <v>232</v>
      </c>
      <c r="P39" s="181" t="n">
        <f>O39-P38</f>
        <v>232</v>
      </c>
      <c r="Q39" s="181" t="n">
        <f>P39-Q38</f>
        <v>232</v>
      </c>
      <c r="R39" s="181" t="n">
        <f>Q39-R38</f>
        <v>232</v>
      </c>
      <c r="S39" s="181" t="n">
        <f>R39-S38</f>
        <v>232</v>
      </c>
      <c r="T39" s="181" t="n">
        <f>S39-T38</f>
        <v>232</v>
      </c>
      <c r="U39" s="181" t="n">
        <f>T39-U38</f>
        <v>232</v>
      </c>
      <c r="V39" s="181" t="n">
        <f>U39-V38</f>
        <v>232</v>
      </c>
      <c r="W39" s="181" t="n">
        <f>V39-W38</f>
        <v>232</v>
      </c>
      <c r="X39" s="181" t="n">
        <f>W39-X38</f>
        <v>232</v>
      </c>
      <c r="Y39" s="181" t="n">
        <f>X39-Y38</f>
        <v>232</v>
      </c>
      <c r="Z39" s="181" t="n">
        <f>Y39-Z38</f>
        <v>232</v>
      </c>
    </row>
    <row r="40" spans="2:28" ht="13.5" customHeight="1" ns3:dyDescent="0.3">
      <c r="B40" s="16"/>
      <c r="C40" s="17"/>
      <c r="D40" s="18"/>
      <c r="E40" s="18"/>
      <c r="F40" s="74" t="s">
        <v>284</v>
      </c>
      <c r="G40" s="53"/>
      <c r="H40" s="53"/>
      <c r="I40" s="53"/>
      <c r="J40" s="53"/>
      <c r="K40" s="53"/>
      <c r="L40" s="181" t="n">
        <f>L38</f>
        <v>0</v>
      </c>
      <c r="M40" s="181" t="n">
        <f>L40+M38</f>
        <v>0</v>
      </c>
      <c r="N40" s="181" t="n">
        <f>M40+N38</f>
        <v>0</v>
      </c>
      <c r="O40" s="181" t="n">
        <f>N40+O38</f>
        <v>0</v>
      </c>
      <c r="P40" s="181" t="n">
        <f>O40+P38</f>
        <v>0</v>
      </c>
      <c r="Q40" s="181" t="n">
        <f>P40+Q38</f>
        <v>0</v>
      </c>
      <c r="R40" s="181" t="n">
        <f>Q40+R38</f>
        <v>0</v>
      </c>
      <c r="S40" s="181" t="n">
        <f>R40+S38</f>
        <v>0</v>
      </c>
      <c r="T40" s="181" t="n">
        <f>S40+T38</f>
        <v>0</v>
      </c>
      <c r="U40" s="181" t="n">
        <f>T40+U38</f>
        <v>0</v>
      </c>
      <c r="V40" s="181" t="n">
        <f>U40+V38</f>
        <v>0</v>
      </c>
      <c r="W40" s="181" t="n">
        <f>V40+W38</f>
        <v>0</v>
      </c>
      <c r="X40" s="181" t="n">
        <f>W40+X38</f>
        <v>0</v>
      </c>
      <c r="Y40" s="181" t="n">
        <f>X40+Y38</f>
        <v>0</v>
      </c>
      <c r="Z40" s="181" t="n">
        <f>Y40+Z38</f>
        <v>0</v>
      </c>
    </row>
    <row r="41" spans="2:28" ht="13.5" customHeight="1" ns3:dyDescent="0.3">
      <c r="B41" s="16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2:28" ht="13.5" customHeight="1" ns3:dyDescent="0.3">
      <c r="B42" s="7"/>
      <c r="C42" s="8"/>
    </row>
    <row r="43" spans="2:28" ht="13.5" customHeight="1" ns3:dyDescent="0.3">
      <c r="B43" s="7"/>
      <c r="C43" s="8"/>
    </row>
    <row r="44" spans="2:28" ht="13.05" customHeight="1" ns3:dyDescent="0.3">
      <c r="B44" s="45"/>
      <c r="C44" s="46"/>
      <c r="J44" s="82" t="s">
        <v>285</v>
      </c>
      <c r="K44" s="83"/>
      <c r="L44" s="76">
        <v>1</v>
      </c>
      <c r="M44" s="76">
        <v>2</v>
      </c>
      <c r="N44" s="76">
        <v>3</v>
      </c>
      <c r="O44" s="76">
        <v>4</v>
      </c>
      <c r="P44" s="76">
        <v>5</v>
      </c>
      <c r="Q44" s="76">
        <v>6</v>
      </c>
      <c r="R44" s="76">
        <v>7</v>
      </c>
      <c r="S44" s="76">
        <v>8</v>
      </c>
      <c r="T44" s="76">
        <v>9</v>
      </c>
      <c r="U44" s="76">
        <v>10</v>
      </c>
      <c r="V44" s="76">
        <v>11</v>
      </c>
      <c r="W44" s="76">
        <v>12</v>
      </c>
      <c r="X44" s="76">
        <v>13</v>
      </c>
      <c r="Y44" s="76">
        <v>14</v>
      </c>
      <c r="Z44" s="76">
        <v>15</v>
      </c>
      <c r="AA44" s="84" t="s">
        <v>286</v>
      </c>
      <c r="AB44" s="79"/>
    </row>
    <row r="45" spans="2:28" ht="13.05" customHeight="1" ns3:dyDescent="0.3">
      <c r="B45" s="45"/>
      <c r="C45" s="46"/>
      <c r="J45" s="82" t="s">
        <v>3</v>
      </c>
      <c r="K45" s="83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54">
        <f>SUM(L45:Z45)</f>
        <v>0</v>
      </c>
    </row>
    <row r="46" spans="2:28" ht="13.05" customHeight="1" ns3:dyDescent="0.3">
      <c r="B46" s="45"/>
      <c r="C46" s="46"/>
      <c r="J46" s="82" t="s">
        <v>7</v>
      </c>
      <c r="K46" s="83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54">
        <f>SUM(L46:Z46)</f>
        <v>0</v>
      </c>
    </row>
    <row r="47" spans="2:28" ht="13.05" customHeight="1" ns3:dyDescent="0.3">
      <c r="B47" s="45"/>
      <c r="C47" s="46"/>
      <c r="J47" s="82" t="s">
        <v>8</v>
      </c>
      <c r="K47" s="83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54">
        <f>SUM(L47:Z47)</f>
        <v>0</v>
      </c>
    </row>
    <row r="48" spans="2:28" ht="13.05" customHeight="1" ns3:dyDescent="0.3">
      <c r="B48" s="45"/>
      <c r="C48" s="46"/>
      <c r="J48" s="82" t="s">
        <v>10</v>
      </c>
      <c r="K48" s="83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54">
        <f>SUM(L48:Z48)</f>
        <v>0</v>
      </c>
    </row>
    <row r="49" spans="2:27" ht="13.05" customHeight="1" ns3:dyDescent="0.3">
      <c r="B49" s="45"/>
      <c r="C49" s="46"/>
      <c r="J49" s="82" t="s">
        <v>13</v>
      </c>
      <c r="K49" s="83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54">
        <f>SUM(L49:Z49)</f>
        <v>0</v>
      </c>
    </row>
    <row r="50" spans="2:27" ht="13.05" customHeight="1" ns3:dyDescent="0.3">
      <c r="B50" s="45"/>
      <c r="C50" s="46"/>
      <c r="AA50" s="77">
        <f>SUM(AA45:AA49)</f>
        <v>0</v>
      </c>
    </row>
    <row r="51" spans="2:27" ht="13.05" customHeight="1" ns3:dyDescent="0.3">
      <c r="B51" s="45"/>
      <c r="C51" s="46"/>
      <c r="J51" s="54" t="s">
        <v>287</v>
      </c>
    </row>
    <row r="52" spans="2:27" ht="13.05" customHeight="1" ns3:dyDescent="0.3">
      <c r="B52" s="45"/>
      <c r="C52" s="46"/>
    </row>
    <row r="53" spans="2:27" ht="27" customHeight="1" ns3:dyDescent="0.3">
      <c r="B53" s="225" t="inlineStr">
        <is>
          <t>Sprint 2 task briefs (proposed scope and acceptance criteria)</t>
        </is>
      </c>
      <c r="C53" s="225" t="inlineStr">
        <is>
          <t>Sprint 2 task briefs (proposed scope and acceptance criteria)</t>
        </is>
      </c>
      <c r="D53" s="226" t="inlineStr">
        <is>
          <t>Sprint 2 task briefs (proposed scope and acceptance criteria)</t>
        </is>
      </c>
      <c r="E53" s="226" t="inlineStr">
        <is>
          <t>Sprint 2 task briefs (proposed scope and acceptance criteria)</t>
        </is>
      </c>
      <c r="F53" s="226" t="inlineStr">
        <is>
          <t>Sprint 2 task briefs (proposed scope and acceptance criteria)</t>
        </is>
      </c>
      <c r="G53" s="226" t="inlineStr">
        <is>
          <t>Sprint 2 task briefs (proposed scope and acceptance criteria)</t>
        </is>
      </c>
      <c r="H53" s="226" t="inlineStr">
        <is>
          <t>Sprint 2 task briefs (proposed scope and acceptance criteria)</t>
        </is>
      </c>
      <c r="I53" s="226" t="inlineStr">
        <is>
          <t>Sprint 2 task briefs (proposed scope and acceptance criteria)</t>
        </is>
      </c>
      <c r="J53" s="226" t="inlineStr">
        <is>
          <t>Sprint 2 task briefs (proposed scope and acceptance criteria)</t>
        </is>
      </c>
      <c r="K53" s="226" t="inlineStr">
        <is>
          <t>Sprint 2 task briefs (proposed scope and acceptance criteria)</t>
        </is>
      </c>
    </row>
    <row r="54" spans="2:27" ht="34" customHeight="1" ns3:dyDescent="0.3">
      <c r="B54" s="217" t="inlineStr">
        <is>
          <t>All tasks below are planned, not accepted results. Original IDs/PB links are retained; wording makes identity, isolation and limitations explicit.</t>
        </is>
      </c>
      <c r="C54" s="217" t="inlineStr">
        <is>
          <t>All tasks below are planned, not accepted results. Original IDs/PB links are retained; wording makes identity, isolation and limitations explicit.</t>
        </is>
      </c>
      <c r="D54" s="220" t="inlineStr">
        <is>
          <t>All tasks below are planned, not accepted results. Original IDs/PB links are retained; wording makes identity, isolation and limitations explicit.</t>
        </is>
      </c>
      <c r="E54" s="220" t="inlineStr">
        <is>
          <t>All tasks below are planned, not accepted results. Original IDs/PB links are retained; wording makes identity, isolation and limitations explicit.</t>
        </is>
      </c>
      <c r="F54" s="220" t="inlineStr">
        <is>
          <t>All tasks below are planned, not accepted results. Original IDs/PB links are retained; wording makes identity, isolation and limitations explicit.</t>
        </is>
      </c>
      <c r="G54" s="220" t="inlineStr">
        <is>
          <t>All tasks below are planned, not accepted results. Original IDs/PB links are retained; wording makes identity, isolation and limitations explicit.</t>
        </is>
      </c>
      <c r="H54" s="220" t="inlineStr">
        <is>
          <t>All tasks below are planned, not accepted results. Original IDs/PB links are retained; wording makes identity, isolation and limitations explicit.</t>
        </is>
      </c>
      <c r="I54" s="220" t="inlineStr">
        <is>
          <t>All tasks below are planned, not accepted results. Original IDs/PB links are retained; wording makes identity, isolation and limitations explicit.</t>
        </is>
      </c>
      <c r="J54" s="220" t="inlineStr">
        <is>
          <t>All tasks below are planned, not accepted results. Original IDs/PB links are retained; wording makes identity, isolation and limitations explicit.</t>
        </is>
      </c>
      <c r="K54" s="220" t="inlineStr">
        <is>
          <t>All tasks below are planned, not accepted results. Original IDs/PB links are retained; wording makes identity, isolation and limitations explicit.</t>
        </is>
      </c>
    </row>
    <row r="55" spans="2:27" ht="27" customHeight="1" ns3:dyDescent="0.3">
      <c r="B55" s="225" t="inlineStr">
        <is>
          <t>2.01  Changed-component records at base/target revisions</t>
        </is>
      </c>
      <c r="C55" s="225" t="inlineStr">
        <is>
          <t>2.01  Changed-component records at base/target revisions</t>
        </is>
      </c>
      <c r="D55" s="226" t="inlineStr">
        <is>
          <t>2.01  Changed-component records at base/target revisions</t>
        </is>
      </c>
      <c r="E55" s="226" t="inlineStr">
        <is>
          <t>2.01  Changed-component records at base/target revisions</t>
        </is>
      </c>
      <c r="F55" s="226" t="inlineStr">
        <is>
          <t>2.01  Changed-component records at base/target revisions</t>
        </is>
      </c>
      <c r="G55" s="226" t="inlineStr">
        <is>
          <t>2.01  Changed-component records at base/target revisions</t>
        </is>
      </c>
      <c r="H55" s="226" t="inlineStr">
        <is>
          <t>2.01  Changed-component records at base/target revisions</t>
        </is>
      </c>
      <c r="I55" s="226" t="inlineStr">
        <is>
          <t>2.01  Changed-component records at base/target revisions</t>
        </is>
      </c>
      <c r="J55" s="226" t="inlineStr">
        <is>
          <t>2.01  Changed-component records at base/target revisions</t>
        </is>
      </c>
      <c r="K55" s="226" t="inlineStr">
        <is>
          <t>2.01  Changed-component records at base/target revisions</t>
        </is>
      </c>
    </row>
    <row r="56" spans="2:27" ht="32" customHeight="1" ns3:dyDescent="0.3">
      <c r="B56" s="227" t="inlineStr">
        <is>
          <t>Dependencies</t>
        </is>
      </c>
      <c r="C56" s="227" t="inlineStr">
        <is>
          <t>Dependencies</t>
        </is>
      </c>
      <c r="D56" s="228" t="inlineStr">
        <is>
          <t>2.14 contract; 2.15 snapshot</t>
        </is>
      </c>
      <c r="E56" s="228" t="inlineStr">
        <is>
          <t>2.14 contract; 2.15 snapshot</t>
        </is>
      </c>
      <c r="F56" s="228" t="inlineStr">
        <is>
          <t>2.14 contract; 2.15 snapshot</t>
        </is>
      </c>
      <c r="G56" s="228" t="inlineStr">
        <is>
          <t>2.14 contract; 2.15 snapshot</t>
        </is>
      </c>
      <c r="H56" s="228" t="inlineStr">
        <is>
          <t>2.14 contract; 2.15 snapshot</t>
        </is>
      </c>
      <c r="I56" s="228" t="inlineStr">
        <is>
          <t>2.14 contract; 2.15 snapshot</t>
        </is>
      </c>
      <c r="J56" s="228" t="inlineStr">
        <is>
          <t>2.14 contract; 2.15 snapshot</t>
        </is>
      </c>
      <c r="K56" s="228" t="inlineStr">
        <is>
          <t>2.14 contract; 2.15 snapshot</t>
        </is>
      </c>
    </row>
    <row r="57" spans="2:27" ht="62" customHeight="1" ns3:dyDescent="0.3">
      <c r="B57" s="227" t="inlineStr">
        <is>
          <t>Acceptance criteria</t>
        </is>
      </c>
      <c r="C57" s="227" t="inlineStr">
        <is>
          <t>Acceptance criteria</t>
        </is>
      </c>
      <c r="D57" s="228" t="inlineStr">
        <is>
          <t>Handle add/modify/delete/rename with previous path; distinguish file/module/class/function granularity. Every location resolves at its declared base or target commit. Unsupported syntax is partial, not no-impact.</t>
        </is>
      </c>
      <c r="E57" s="228" t="inlineStr">
        <is>
          <t>Handle add/modify/delete/rename with previous path; distinguish file/module/class/function granularity. Every location resolves at its declared base or target commit. Unsupported syntax is partial, not no-impact.</t>
        </is>
      </c>
      <c r="F57" s="228" t="inlineStr">
        <is>
          <t>Handle add/modify/delete/rename with previous path; distinguish file/module/class/function granularity. Every location resolves at its declared base or target commit. Unsupported syntax is partial, not no-impact.</t>
        </is>
      </c>
      <c r="G57" s="228" t="inlineStr">
        <is>
          <t>Handle add/modify/delete/rename with previous path; distinguish file/module/class/function granularity. Every location resolves at its declared base or target commit. Unsupported syntax is partial, not no-impact.</t>
        </is>
      </c>
      <c r="H57" s="228" t="inlineStr">
        <is>
          <t>Handle add/modify/delete/rename with previous path; distinguish file/module/class/function granularity. Every location resolves at its declared base or target commit. Unsupported syntax is partial, not no-impact.</t>
        </is>
      </c>
      <c r="I57" s="228" t="inlineStr">
        <is>
          <t>Handle add/modify/delete/rename with previous path; distinguish file/module/class/function granularity. Every location resolves at its declared base or target commit. Unsupported syntax is partial, not no-impact.</t>
        </is>
      </c>
      <c r="J57" s="228" t="inlineStr">
        <is>
          <t>Handle add/modify/delete/rename with previous path; distinguish file/module/class/function granularity. Every location resolves at its declared base or target commit. Unsupported syntax is partial, not no-impact.</t>
        </is>
      </c>
      <c r="K57" s="228" t="inlineStr">
        <is>
          <t>Handle add/modify/delete/rename with previous path; distinguish file/module/class/function granularity. Every location resolves at its declared base or target commit. Unsupported syntax is partial, not no-impact.</t>
        </is>
      </c>
    </row>
    <row r="58" spans="2:27" ht="48" customHeight="1" ns3:dyDescent="0.3">
      <c r="B58" s="227" t="inlineStr">
        <is>
          <t>Verification planned</t>
        </is>
      </c>
      <c r="C58" s="227" t="inlineStr">
        <is>
          <t>Verification planned</t>
        </is>
      </c>
      <c r="D58" s="228" t="inlineStr">
        <is>
          <t>Fixtures with independently expected changes and immutable Git blobs; include deletion, rename and dirty-tree isolation.</t>
        </is>
      </c>
      <c r="E58" s="228" t="inlineStr">
        <is>
          <t>Fixtures with independently expected changes and immutable Git blobs; include deletion, rename and dirty-tree isolation.</t>
        </is>
      </c>
      <c r="F58" s="228" t="inlineStr">
        <is>
          <t>Fixtures with independently expected changes and immutable Git blobs; include deletion, rename and dirty-tree isolation.</t>
        </is>
      </c>
      <c r="G58" s="228" t="inlineStr">
        <is>
          <t>Fixtures with independently expected changes and immutable Git blobs; include deletion, rename and dirty-tree isolation.</t>
        </is>
      </c>
      <c r="H58" s="228" t="inlineStr">
        <is>
          <t>Fixtures with independently expected changes and immutable Git blobs; include deletion, rename and dirty-tree isolation.</t>
        </is>
      </c>
      <c r="I58" s="228" t="inlineStr">
        <is>
          <t>Fixtures with independently expected changes and immutable Git blobs; include deletion, rename and dirty-tree isolation.</t>
        </is>
      </c>
      <c r="J58" s="228" t="inlineStr">
        <is>
          <t>Fixtures with independently expected changes and immutable Git blobs; include deletion, rename and dirty-tree isolation.</t>
        </is>
      </c>
      <c r="K58" s="228" t="inlineStr">
        <is>
          <t>Fixtures with independently expected changes and immutable Git blobs; include deletion, rename and dirty-tree isolation.</t>
        </is>
      </c>
    </row>
    <row r="59" spans="2:27" ht="45" customHeight="1" ns3:dyDescent="0.3">
      <c r="B59" s="227" t="inlineStr">
        <is>
          <t>Traceability / review</t>
        </is>
      </c>
      <c r="C59" s="227" t="inlineStr">
        <is>
          <t>Traceability / review</t>
        </is>
      </c>
      <c r="D59" s="228" t="inlineStr">
        <is>
          <t>PB05. Reviewer proposed: pending. Allocation: Do Ha An 20h.</t>
        </is>
      </c>
      <c r="E59" s="228" t="inlineStr">
        <is>
          <t>PB05. Reviewer proposed: pending. Allocation: Do Ha An 20h.</t>
        </is>
      </c>
      <c r="F59" s="228" t="inlineStr">
        <is>
          <t>PB05. Reviewer proposed: pending. Allocation: Do Ha An 20h.</t>
        </is>
      </c>
      <c r="G59" s="228" t="inlineStr">
        <is>
          <t>PB05. Reviewer proposed: pending. Allocation: Do Ha An 20h.</t>
        </is>
      </c>
      <c r="H59" s="228" t="inlineStr">
        <is>
          <t>PB05. Reviewer proposed: pending. Allocation: Do Ha An 20h.</t>
        </is>
      </c>
      <c r="I59" s="228" t="inlineStr">
        <is>
          <t>PB05. Reviewer proposed: pending. Allocation: Do Ha An 20h.</t>
        </is>
      </c>
      <c r="J59" s="228" t="inlineStr">
        <is>
          <t>PB05. Reviewer proposed: pending. Allocation: Do Ha An 20h.</t>
        </is>
      </c>
      <c r="K59" s="228" t="inlineStr">
        <is>
          <t>PB05. Reviewer proposed: pending. Allocation: Do Ha An 20h.</t>
        </is>
      </c>
    </row>
    <row r="60" spans="2:27" ht="13.5" customHeight="1" ns3:dyDescent="0.3">
      <c r="B60" s="7"/>
      <c r="C60" s="8"/>
    </row>
    <row r="61" spans="2:27" ht="27" customHeight="1" ns3:dyDescent="0.3">
      <c r="B61" s="225" t="inlineStr">
        <is>
          <t>2.02  Reviewed expected locations and mismatch record</t>
        </is>
      </c>
      <c r="C61" s="225" t="inlineStr">
        <is>
          <t>2.02  Reviewed expected locations and mismatch record</t>
        </is>
      </c>
      <c r="D61" s="226" t="inlineStr">
        <is>
          <t>2.02  Reviewed expected locations and mismatch record</t>
        </is>
      </c>
      <c r="E61" s="226" t="inlineStr">
        <is>
          <t>2.02  Reviewed expected locations and mismatch record</t>
        </is>
      </c>
      <c r="F61" s="226" t="inlineStr">
        <is>
          <t>2.02  Reviewed expected locations and mismatch record</t>
        </is>
      </c>
      <c r="G61" s="226" t="inlineStr">
        <is>
          <t>2.02  Reviewed expected locations and mismatch record</t>
        </is>
      </c>
      <c r="H61" s="226" t="inlineStr">
        <is>
          <t>2.02  Reviewed expected locations and mismatch record</t>
        </is>
      </c>
      <c r="I61" s="226" t="inlineStr">
        <is>
          <t>2.02  Reviewed expected locations and mismatch record</t>
        </is>
      </c>
      <c r="J61" s="226" t="inlineStr">
        <is>
          <t>2.02  Reviewed expected locations and mismatch record</t>
        </is>
      </c>
      <c r="K61" s="226" t="inlineStr">
        <is>
          <t>2.02  Reviewed expected locations and mismatch record</t>
        </is>
      </c>
    </row>
    <row r="62" spans="2:27" ht="32" customHeight="1" ns3:dyDescent="0.3">
      <c r="B62" s="227" t="inlineStr">
        <is>
          <t>Dependencies</t>
        </is>
      </c>
      <c r="C62" s="227" t="inlineStr">
        <is>
          <t>Dependencies</t>
        </is>
      </c>
      <c r="D62" s="228" t="inlineStr">
        <is>
          <t>2.01 output; 2.14 contract</t>
        </is>
      </c>
      <c r="E62" s="228" t="inlineStr">
        <is>
          <t>2.01 output; 2.14 contract</t>
        </is>
      </c>
      <c r="F62" s="228" t="inlineStr">
        <is>
          <t>2.01 output; 2.14 contract</t>
        </is>
      </c>
      <c r="G62" s="228" t="inlineStr">
        <is>
          <t>2.01 output; 2.14 contract</t>
        </is>
      </c>
      <c r="H62" s="228" t="inlineStr">
        <is>
          <t>2.01 output; 2.14 contract</t>
        </is>
      </c>
      <c r="I62" s="228" t="inlineStr">
        <is>
          <t>2.01 output; 2.14 contract</t>
        </is>
      </c>
      <c r="J62" s="228" t="inlineStr">
        <is>
          <t>2.01 output; 2.14 contract</t>
        </is>
      </c>
      <c r="K62" s="228" t="inlineStr">
        <is>
          <t>2.01 output; 2.14 contract</t>
        </is>
      </c>
    </row>
    <row r="63" spans="2:27" ht="62" customHeight="1" ns3:dyDescent="0.3">
      <c r="B63" s="227" t="inlineStr">
        <is>
          <t>Acceptance criteria</t>
        </is>
      </c>
      <c r="C63" s="227" t="inlineStr">
        <is>
          <t>Acceptance criteria</t>
        </is>
      </c>
      <c r="D63" s="228" t="inlineStr">
        <is>
          <t>Compare output with independently prepared expected components and source ranges. Reject wrong commit/path/span; record unresolved labels and disagreements. Dependency reachability is not ground truth.</t>
        </is>
      </c>
      <c r="E63" s="228" t="inlineStr">
        <is>
          <t>Compare output with independently prepared expected components and source ranges. Reject wrong commit/path/span; record unresolved labels and disagreements. Dependency reachability is not ground truth.</t>
        </is>
      </c>
      <c r="F63" s="228" t="inlineStr">
        <is>
          <t>Compare output with independently prepared expected components and source ranges. Reject wrong commit/path/span; record unresolved labels and disagreements. Dependency reachability is not ground truth.</t>
        </is>
      </c>
      <c r="G63" s="228" t="inlineStr">
        <is>
          <t>Compare output with independently prepared expected components and source ranges. Reject wrong commit/path/span; record unresolved labels and disagreements. Dependency reachability is not ground truth.</t>
        </is>
      </c>
      <c r="H63" s="228" t="inlineStr">
        <is>
          <t>Compare output with independently prepared expected components and source ranges. Reject wrong commit/path/span; record unresolved labels and disagreements. Dependency reachability is not ground truth.</t>
        </is>
      </c>
      <c r="I63" s="228" t="inlineStr">
        <is>
          <t>Compare output with independently prepared expected components and source ranges. Reject wrong commit/path/span; record unresolved labels and disagreements. Dependency reachability is not ground truth.</t>
        </is>
      </c>
      <c r="J63" s="228" t="inlineStr">
        <is>
          <t>Compare output with independently prepared expected components and source ranges. Reject wrong commit/path/span; record unresolved labels and disagreements. Dependency reachability is not ground truth.</t>
        </is>
      </c>
      <c r="K63" s="228" t="inlineStr">
        <is>
          <t>Compare output with independently prepared expected components and source ranges. Reject wrong commit/path/span; record unresolved labels and disagreements. Dependency reachability is not ground truth.</t>
        </is>
      </c>
    </row>
    <row r="64" spans="2:27" ht="48" customHeight="1" ns3:dyDescent="0.3">
      <c r="B64" s="227" t="inlineStr">
        <is>
          <t>Verification planned</t>
        </is>
      </c>
      <c r="C64" s="227" t="inlineStr">
        <is>
          <t>Verification planned</t>
        </is>
      </c>
      <c r="D64" s="228" t="inlineStr">
        <is>
          <t>Positive and wrong-location cases; retain fixture revisions, expected records and mismatch evidence.</t>
        </is>
      </c>
      <c r="E64" s="228" t="inlineStr">
        <is>
          <t>Positive and wrong-location cases; retain fixture revisions, expected records and mismatch evidence.</t>
        </is>
      </c>
      <c r="F64" s="228" t="inlineStr">
        <is>
          <t>Positive and wrong-location cases; retain fixture revisions, expected records and mismatch evidence.</t>
        </is>
      </c>
      <c r="G64" s="228" t="inlineStr">
        <is>
          <t>Positive and wrong-location cases; retain fixture revisions, expected records and mismatch evidence.</t>
        </is>
      </c>
      <c r="H64" s="228" t="inlineStr">
        <is>
          <t>Positive and wrong-location cases; retain fixture revisions, expected records and mismatch evidence.</t>
        </is>
      </c>
      <c r="I64" s="228" t="inlineStr">
        <is>
          <t>Positive and wrong-location cases; retain fixture revisions, expected records and mismatch evidence.</t>
        </is>
      </c>
      <c r="J64" s="228" t="inlineStr">
        <is>
          <t>Positive and wrong-location cases; retain fixture revisions, expected records and mismatch evidence.</t>
        </is>
      </c>
      <c r="K64" s="228" t="inlineStr">
        <is>
          <t>Positive and wrong-location cases; retain fixture revisions, expected records and mismatch evidence.</t>
        </is>
      </c>
    </row>
    <row r="65" spans="2:3" ht="45" customHeight="1" ns3:dyDescent="0.3">
      <c r="B65" s="227" t="inlineStr">
        <is>
          <t>Traceability / review</t>
        </is>
      </c>
      <c r="C65" s="227" t="inlineStr">
        <is>
          <t>Traceability / review</t>
        </is>
      </c>
      <c r="D65" s="228" t="inlineStr">
        <is>
          <t>PB05. Reviewer proposed: pending. Allocation: Dang Dai Viet 8h.</t>
        </is>
      </c>
      <c r="E65" s="228" t="inlineStr">
        <is>
          <t>PB05. Reviewer proposed: pending. Allocation: Dang Dai Viet 8h.</t>
        </is>
      </c>
      <c r="F65" s="228" t="inlineStr">
        <is>
          <t>PB05. Reviewer proposed: pending. Allocation: Dang Dai Viet 8h.</t>
        </is>
      </c>
      <c r="G65" s="228" t="inlineStr">
        <is>
          <t>PB05. Reviewer proposed: pending. Allocation: Dang Dai Viet 8h.</t>
        </is>
      </c>
      <c r="H65" s="228" t="inlineStr">
        <is>
          <t>PB05. Reviewer proposed: pending. Allocation: Dang Dai Viet 8h.</t>
        </is>
      </c>
      <c r="I65" s="228" t="inlineStr">
        <is>
          <t>PB05. Reviewer proposed: pending. Allocation: Dang Dai Viet 8h.</t>
        </is>
      </c>
      <c r="J65" s="228" t="inlineStr">
        <is>
          <t>PB05. Reviewer proposed: pending. Allocation: Dang Dai Viet 8h.</t>
        </is>
      </c>
      <c r="K65" s="228" t="inlineStr">
        <is>
          <t>PB05. Reviewer proposed: pending. Allocation: Dang Dai Viet 8h.</t>
        </is>
      </c>
    </row>
    <row r="66" spans="2:3" ht="13.5" customHeight="1" ns3:dyDescent="0.3">
      <c r="B66" s="7"/>
      <c r="C66" s="8"/>
    </row>
    <row r="67" spans="2:3" ht="27" customHeight="1" ns3:dyDescent="0.3">
      <c r="B67" s="225" t="inlineStr">
        <is>
          <t>2.03  Snapshot-scoped components and supported dependency edges</t>
        </is>
      </c>
      <c r="C67" s="225" t="inlineStr">
        <is>
          <t>2.03  Snapshot-scoped components and supported dependency edges</t>
        </is>
      </c>
      <c r="D67" s="226" t="inlineStr">
        <is>
          <t>2.03  Snapshot-scoped components and supported dependency edges</t>
        </is>
      </c>
      <c r="E67" s="226" t="inlineStr">
        <is>
          <t>2.03  Snapshot-scoped components and supported dependency edges</t>
        </is>
      </c>
      <c r="F67" s="226" t="inlineStr">
        <is>
          <t>2.03  Snapshot-scoped components and supported dependency edges</t>
        </is>
      </c>
      <c r="G67" s="226" t="inlineStr">
        <is>
          <t>2.03  Snapshot-scoped components and supported dependency edges</t>
        </is>
      </c>
      <c r="H67" s="226" t="inlineStr">
        <is>
          <t>2.03  Snapshot-scoped components and supported dependency edges</t>
        </is>
      </c>
      <c r="I67" s="226" t="inlineStr">
        <is>
          <t>2.03  Snapshot-scoped components and supported dependency edges</t>
        </is>
      </c>
      <c r="J67" s="226" t="inlineStr">
        <is>
          <t>2.03  Snapshot-scoped components and supported dependency edges</t>
        </is>
      </c>
      <c r="K67" s="226" t="inlineStr">
        <is>
          <t>2.03  Snapshot-scoped components and supported dependency edges</t>
        </is>
      </c>
    </row>
    <row r="68" spans="2:3" ht="32" customHeight="1" ns3:dyDescent="0.3">
      <c r="B68" s="227" t="inlineStr">
        <is>
          <t>Dependencies</t>
        </is>
      </c>
      <c r="C68" s="227" t="inlineStr">
        <is>
          <t>Dependencies</t>
        </is>
      </c>
      <c r="D68" s="228" t="inlineStr">
        <is>
          <t>2.01; 2.14; 2.15</t>
        </is>
      </c>
      <c r="E68" s="228" t="inlineStr">
        <is>
          <t>2.01; 2.14; 2.15</t>
        </is>
      </c>
      <c r="F68" s="228" t="inlineStr">
        <is>
          <t>2.01; 2.14; 2.15</t>
        </is>
      </c>
      <c r="G68" s="228" t="inlineStr">
        <is>
          <t>2.01; 2.14; 2.15</t>
        </is>
      </c>
      <c r="H68" s="228" t="inlineStr">
        <is>
          <t>2.01; 2.14; 2.15</t>
        </is>
      </c>
      <c r="I68" s="228" t="inlineStr">
        <is>
          <t>2.01; 2.14; 2.15</t>
        </is>
      </c>
      <c r="J68" s="228" t="inlineStr">
        <is>
          <t>2.01; 2.14; 2.15</t>
        </is>
      </c>
      <c r="K68" s="228" t="inlineStr">
        <is>
          <t>2.01; 2.14; 2.15</t>
        </is>
      </c>
    </row>
    <row r="69" spans="2:3" ht="62" customHeight="1" ns3:dyDescent="0.3">
      <c r="B69" s="227" t="inlineStr">
        <is>
          <t>Acceptance criteria</t>
        </is>
      </c>
      <c r="C69" s="227" t="inlineStr">
        <is>
          <t>Acceptance criteria</t>
        </is>
      </c>
      <c r="D69" s="228" t="inlineStr">
        <is>
          <t>Document supported import/reference semantics and edge direction. Every endpoint belongs to the same repository/snapshot. Relative, star and dynamic imports are either supported with evidence or explicitly unresolved.</t>
        </is>
      </c>
      <c r="E69" s="228" t="inlineStr">
        <is>
          <t>Document supported import/reference semantics and edge direction. Every endpoint belongs to the same repository/snapshot. Relative, star and dynamic imports are either supported with evidence or explicitly unresolved.</t>
        </is>
      </c>
      <c r="F69" s="228" t="inlineStr">
        <is>
          <t>Document supported import/reference semantics and edge direction. Every endpoint belongs to the same repository/snapshot. Relative, star and dynamic imports are either supported with evidence or explicitly unresolved.</t>
        </is>
      </c>
      <c r="G69" s="228" t="inlineStr">
        <is>
          <t>Document supported import/reference semantics and edge direction. Every endpoint belongs to the same repository/snapshot. Relative, star and dynamic imports are either supported with evidence or explicitly unresolved.</t>
        </is>
      </c>
      <c r="H69" s="228" t="inlineStr">
        <is>
          <t>Document supported import/reference semantics and edge direction. Every endpoint belongs to the same repository/snapshot. Relative, star and dynamic imports are either supported with evidence or explicitly unresolved.</t>
        </is>
      </c>
      <c r="I69" s="228" t="inlineStr">
        <is>
          <t>Document supported import/reference semantics and edge direction. Every endpoint belongs to the same repository/snapshot. Relative, star and dynamic imports are either supported with evidence or explicitly unresolved.</t>
        </is>
      </c>
      <c r="J69" s="228" t="inlineStr">
        <is>
          <t>Document supported import/reference semantics and edge direction. Every endpoint belongs to the same repository/snapshot. Relative, star and dynamic imports are either supported with evidence or explicitly unresolved.</t>
        </is>
      </c>
      <c r="K69" s="228" t="inlineStr">
        <is>
          <t>Document supported import/reference semantics and edge direction. Every endpoint belongs to the same repository/snapshot. Relative, star and dynamic imports are either supported with evidence or explicitly unresolved.</t>
        </is>
      </c>
    </row>
    <row r="70" spans="2:3" ht="48" customHeight="1" ns3:dyDescent="0.3">
      <c r="B70" s="227" t="inlineStr">
        <is>
          <t>Verification planned</t>
        </is>
      </c>
      <c r="C70" s="227" t="inlineStr">
        <is>
          <t>Verification planned</t>
        </is>
      </c>
      <c r="D70" s="228" t="inlineStr">
        <is>
          <t>Independent expected-edge fixtures for supported/unsupported imports and wrong-snapshot endpoints.</t>
        </is>
      </c>
      <c r="E70" s="228" t="inlineStr">
        <is>
          <t>Independent expected-edge fixtures for supported/unsupported imports and wrong-snapshot endpoints.</t>
        </is>
      </c>
      <c r="F70" s="228" t="inlineStr">
        <is>
          <t>Independent expected-edge fixtures for supported/unsupported imports and wrong-snapshot endpoints.</t>
        </is>
      </c>
      <c r="G70" s="228" t="inlineStr">
        <is>
          <t>Independent expected-edge fixtures for supported/unsupported imports and wrong-snapshot endpoints.</t>
        </is>
      </c>
      <c r="H70" s="228" t="inlineStr">
        <is>
          <t>Independent expected-edge fixtures for supported/unsupported imports and wrong-snapshot endpoints.</t>
        </is>
      </c>
      <c r="I70" s="228" t="inlineStr">
        <is>
          <t>Independent expected-edge fixtures for supported/unsupported imports and wrong-snapshot endpoints.</t>
        </is>
      </c>
      <c r="J70" s="228" t="inlineStr">
        <is>
          <t>Independent expected-edge fixtures for supported/unsupported imports and wrong-snapshot endpoints.</t>
        </is>
      </c>
      <c r="K70" s="228" t="inlineStr">
        <is>
          <t>Independent expected-edge fixtures for supported/unsupported imports and wrong-snapshot endpoints.</t>
        </is>
      </c>
    </row>
    <row r="71" spans="2:3" ht="45" customHeight="1" ns3:dyDescent="0.3">
      <c r="B71" s="227" t="inlineStr">
        <is>
          <t>Traceability / review</t>
        </is>
      </c>
      <c r="C71" s="227" t="inlineStr">
        <is>
          <t>Traceability / review</t>
        </is>
      </c>
      <c r="D71" s="228" t="inlineStr">
        <is>
          <t>PB06. Reviewer proposed: pending. Allocation: Pham Phan Hoang Huy 16h.</t>
        </is>
      </c>
      <c r="E71" s="228" t="inlineStr">
        <is>
          <t>PB06. Reviewer proposed: pending. Allocation: Pham Phan Hoang Huy 16h.</t>
        </is>
      </c>
      <c r="F71" s="228" t="inlineStr">
        <is>
          <t>PB06. Reviewer proposed: pending. Allocation: Pham Phan Hoang Huy 16h.</t>
        </is>
      </c>
      <c r="G71" s="228" t="inlineStr">
        <is>
          <t>PB06. Reviewer proposed: pending. Allocation: Pham Phan Hoang Huy 16h.</t>
        </is>
      </c>
      <c r="H71" s="228" t="inlineStr">
        <is>
          <t>PB06. Reviewer proposed: pending. Allocation: Pham Phan Hoang Huy 16h.</t>
        </is>
      </c>
      <c r="I71" s="228" t="inlineStr">
        <is>
          <t>PB06. Reviewer proposed: pending. Allocation: Pham Phan Hoang Huy 16h.</t>
        </is>
      </c>
      <c r="J71" s="228" t="inlineStr">
        <is>
          <t>PB06. Reviewer proposed: pending. Allocation: Pham Phan Hoang Huy 16h.</t>
        </is>
      </c>
      <c r="K71" s="228" t="inlineStr">
        <is>
          <t>PB06. Reviewer proposed: pending. Allocation: Pham Phan Hoang Huy 16h.</t>
        </is>
      </c>
    </row>
    <row r="72" spans="2:3" ht="13.5" customHeight="1" ns3:dyDescent="0.3">
      <c r="B72" s="7"/>
      <c r="C72" s="8"/>
    </row>
    <row r="73" spans="2:3" ht="27" customHeight="1" ns3:dyDescent="0.3">
      <c r="B73" s="225" t="inlineStr">
        <is>
          <t>2.04  Direct/indirect potential-impact candidates and paths</t>
        </is>
      </c>
      <c r="C73" s="225" t="inlineStr">
        <is>
          <t>2.04  Direct/indirect potential-impact candidates and paths</t>
        </is>
      </c>
      <c r="D73" s="226" t="inlineStr">
        <is>
          <t>2.04  Direct/indirect potential-impact candidates and paths</t>
        </is>
      </c>
      <c r="E73" s="226" t="inlineStr">
        <is>
          <t>2.04  Direct/indirect potential-impact candidates and paths</t>
        </is>
      </c>
      <c r="F73" s="226" t="inlineStr">
        <is>
          <t>2.04  Direct/indirect potential-impact candidates and paths</t>
        </is>
      </c>
      <c r="G73" s="226" t="inlineStr">
        <is>
          <t>2.04  Direct/indirect potential-impact candidates and paths</t>
        </is>
      </c>
      <c r="H73" s="226" t="inlineStr">
        <is>
          <t>2.04  Direct/indirect potential-impact candidates and paths</t>
        </is>
      </c>
      <c r="I73" s="226" t="inlineStr">
        <is>
          <t>2.04  Direct/indirect potential-impact candidates and paths</t>
        </is>
      </c>
      <c r="J73" s="226" t="inlineStr">
        <is>
          <t>2.04  Direct/indirect potential-impact candidates and paths</t>
        </is>
      </c>
      <c r="K73" s="226" t="inlineStr">
        <is>
          <t>2.04  Direct/indirect potential-impact candidates and paths</t>
        </is>
      </c>
    </row>
    <row r="74" spans="2:3" ht="32" customHeight="1" ns3:dyDescent="0.3">
      <c r="B74" s="227" t="inlineStr">
        <is>
          <t>Dependencies</t>
        </is>
      </c>
      <c r="C74" s="227" t="inlineStr">
        <is>
          <t>Dependencies</t>
        </is>
      </c>
      <c r="D74" s="228" t="inlineStr">
        <is>
          <t>2.03; 2.14</t>
        </is>
      </c>
      <c r="E74" s="228" t="inlineStr">
        <is>
          <t>2.03; 2.14</t>
        </is>
      </c>
      <c r="F74" s="228" t="inlineStr">
        <is>
          <t>2.03; 2.14</t>
        </is>
      </c>
      <c r="G74" s="228" t="inlineStr">
        <is>
          <t>2.03; 2.14</t>
        </is>
      </c>
      <c r="H74" s="228" t="inlineStr">
        <is>
          <t>2.03; 2.14</t>
        </is>
      </c>
      <c r="I74" s="228" t="inlineStr">
        <is>
          <t>2.03; 2.14</t>
        </is>
      </c>
      <c r="J74" s="228" t="inlineStr">
        <is>
          <t>2.03; 2.14</t>
        </is>
      </c>
      <c r="K74" s="228" t="inlineStr">
        <is>
          <t>2.03; 2.14</t>
        </is>
      </c>
    </row>
    <row r="75" spans="2:3" ht="62" customHeight="1" ns3:dyDescent="0.3">
      <c r="B75" s="227" t="inlineStr">
        <is>
          <t>Acceptance criteria</t>
        </is>
      </c>
      <c r="C75" s="227" t="inlineStr">
        <is>
          <t>Acceptance criteria</t>
        </is>
      </c>
      <c r="D75" s="228" t="inlineStr">
        <is>
          <t>Traverse reverse dependency direction from changed components; distinguish changed, direct and indirect candidates. Cycles terminate and paths deduplicate deterministically. Reachability is potential impact, not verified behavioral change.</t>
        </is>
      </c>
      <c r="E75" s="228" t="inlineStr">
        <is>
          <t>Traverse reverse dependency direction from changed components; distinguish changed, direct and indirect candidates. Cycles terminate and paths deduplicate deterministically. Reachability is potential impact, not verified behavioral change.</t>
        </is>
      </c>
      <c r="F75" s="228" t="inlineStr">
        <is>
          <t>Traverse reverse dependency direction from changed components; distinguish changed, direct and indirect candidates. Cycles terminate and paths deduplicate deterministically. Reachability is potential impact, not verified behavioral change.</t>
        </is>
      </c>
      <c r="G75" s="228" t="inlineStr">
        <is>
          <t>Traverse reverse dependency direction from changed components; distinguish changed, direct and indirect candidates. Cycles terminate and paths deduplicate deterministically. Reachability is potential impact, not verified behavioral change.</t>
        </is>
      </c>
      <c r="H75" s="228" t="inlineStr">
        <is>
          <t>Traverse reverse dependency direction from changed components; distinguish changed, direct and indirect candidates. Cycles terminate and paths deduplicate deterministically. Reachability is potential impact, not verified behavioral change.</t>
        </is>
      </c>
      <c r="I75" s="228" t="inlineStr">
        <is>
          <t>Traverse reverse dependency direction from changed components; distinguish changed, direct and indirect candidates. Cycles terminate and paths deduplicate deterministically. Reachability is potential impact, not verified behavioral change.</t>
        </is>
      </c>
      <c r="J75" s="228" t="inlineStr">
        <is>
          <t>Traverse reverse dependency direction from changed components; distinguish changed, direct and indirect candidates. Cycles terminate and paths deduplicate deterministically. Reachability is potential impact, not verified behavioral change.</t>
        </is>
      </c>
      <c r="K75" s="228" t="inlineStr">
        <is>
          <t>Traverse reverse dependency direction from changed components; distinguish changed, direct and indirect candidates. Cycles terminate and paths deduplicate deterministically. Reachability is potential impact, not verified behavioral change.</t>
        </is>
      </c>
    </row>
    <row r="76" spans="2:3" ht="48" customHeight="1" ns3:dyDescent="0.3">
      <c r="B76" s="227" t="inlineStr">
        <is>
          <t>Verification planned</t>
        </is>
      </c>
      <c r="C76" s="227" t="inlineStr">
        <is>
          <t>Verification planned</t>
        </is>
      </c>
      <c r="D76" s="228" t="inlineStr">
        <is>
          <t>Chain, branching, cycle, disconnected and deterministic-repeat fixtures with expected candidates/paths.</t>
        </is>
      </c>
      <c r="E76" s="228" t="inlineStr">
        <is>
          <t>Chain, branching, cycle, disconnected and deterministic-repeat fixtures with expected candidates/paths.</t>
        </is>
      </c>
      <c r="F76" s="228" t="inlineStr">
        <is>
          <t>Chain, branching, cycle, disconnected and deterministic-repeat fixtures with expected candidates/paths.</t>
        </is>
      </c>
      <c r="G76" s="228" t="inlineStr">
        <is>
          <t>Chain, branching, cycle, disconnected and deterministic-repeat fixtures with expected candidates/paths.</t>
        </is>
      </c>
      <c r="H76" s="228" t="inlineStr">
        <is>
          <t>Chain, branching, cycle, disconnected and deterministic-repeat fixtures with expected candidates/paths.</t>
        </is>
      </c>
      <c r="I76" s="228" t="inlineStr">
        <is>
          <t>Chain, branching, cycle, disconnected and deterministic-repeat fixtures with expected candidates/paths.</t>
        </is>
      </c>
      <c r="J76" s="228" t="inlineStr">
        <is>
          <t>Chain, branching, cycle, disconnected and deterministic-repeat fixtures with expected candidates/paths.</t>
        </is>
      </c>
      <c r="K76" s="228" t="inlineStr">
        <is>
          <t>Chain, branching, cycle, disconnected and deterministic-repeat fixtures with expected candidates/paths.</t>
        </is>
      </c>
    </row>
    <row r="77" spans="2:3" ht="45" customHeight="1" ns3:dyDescent="0.3">
      <c r="B77" s="227" t="inlineStr">
        <is>
          <t>Traceability / review</t>
        </is>
      </c>
      <c r="C77" s="227" t="inlineStr">
        <is>
          <t>Traceability / review</t>
        </is>
      </c>
      <c r="D77" s="228" t="inlineStr">
        <is>
          <t>PB06. Reviewer proposed: pending. Allocation: Pham Phan Hoang Huy 12h.</t>
        </is>
      </c>
      <c r="E77" s="228" t="inlineStr">
        <is>
          <t>PB06. Reviewer proposed: pending. Allocation: Pham Phan Hoang Huy 12h.</t>
        </is>
      </c>
      <c r="F77" s="228" t="inlineStr">
        <is>
          <t>PB06. Reviewer proposed: pending. Allocation: Pham Phan Hoang Huy 12h.</t>
        </is>
      </c>
      <c r="G77" s="228" t="inlineStr">
        <is>
          <t>PB06. Reviewer proposed: pending. Allocation: Pham Phan Hoang Huy 12h.</t>
        </is>
      </c>
      <c r="H77" s="228" t="inlineStr">
        <is>
          <t>PB06. Reviewer proposed: pending. Allocation: Pham Phan Hoang Huy 12h.</t>
        </is>
      </c>
      <c r="I77" s="228" t="inlineStr">
        <is>
          <t>PB06. Reviewer proposed: pending. Allocation: Pham Phan Hoang Huy 12h.</t>
        </is>
      </c>
      <c r="J77" s="228" t="inlineStr">
        <is>
          <t>PB06. Reviewer proposed: pending. Allocation: Pham Phan Hoang Huy 12h.</t>
        </is>
      </c>
      <c r="K77" s="228" t="inlineStr">
        <is>
          <t>PB06. Reviewer proposed: pending. Allocation: Pham Phan Hoang Huy 12h.</t>
        </is>
      </c>
    </row>
    <row r="78" spans="2:3" ht="13.5" customHeight="1" ns3:dyDescent="0.3">
      <c r="B78" s="7"/>
      <c r="C78" s="8"/>
    </row>
    <row r="79" spans="2:3" ht="27" customHeight="1" ns3:dyDescent="0.3">
      <c r="B79" s="225" t="inlineStr">
        <is>
          <t>2.05  Persisted impact paths and evidence with revision identity</t>
        </is>
      </c>
      <c r="C79" s="225" t="inlineStr">
        <is>
          <t>2.05  Persisted impact paths and evidence with revision identity</t>
        </is>
      </c>
      <c r="D79" s="226" t="inlineStr">
        <is>
          <t>2.05  Persisted impact paths and evidence with revision identity</t>
        </is>
      </c>
      <c r="E79" s="226" t="inlineStr">
        <is>
          <t>2.05  Persisted impact paths and evidence with revision identity</t>
        </is>
      </c>
      <c r="F79" s="226" t="inlineStr">
        <is>
          <t>2.05  Persisted impact paths and evidence with revision identity</t>
        </is>
      </c>
      <c r="G79" s="226" t="inlineStr">
        <is>
          <t>2.05  Persisted impact paths and evidence with revision identity</t>
        </is>
      </c>
      <c r="H79" s="226" t="inlineStr">
        <is>
          <t>2.05  Persisted impact paths and evidence with revision identity</t>
        </is>
      </c>
      <c r="I79" s="226" t="inlineStr">
        <is>
          <t>2.05  Persisted impact paths and evidence with revision identity</t>
        </is>
      </c>
      <c r="J79" s="226" t="inlineStr">
        <is>
          <t>2.05  Persisted impact paths and evidence with revision identity</t>
        </is>
      </c>
      <c r="K79" s="226" t="inlineStr">
        <is>
          <t>2.05  Persisted impact paths and evidence with revision identity</t>
        </is>
      </c>
    </row>
    <row r="80" spans="2:3" ht="32" customHeight="1" ns3:dyDescent="0.3">
      <c r="B80" s="227" t="inlineStr">
        <is>
          <t>Dependencies</t>
        </is>
      </c>
      <c r="C80" s="227" t="inlineStr">
        <is>
          <t>Dependencies</t>
        </is>
      </c>
      <c r="D80" s="228" t="inlineStr">
        <is>
          <t>2.04; 2.14; 2.20 foundation checkpoint</t>
        </is>
      </c>
      <c r="E80" s="228" t="inlineStr">
        <is>
          <t>2.04; 2.14; 2.20 foundation checkpoint</t>
        </is>
      </c>
      <c r="F80" s="228" t="inlineStr">
        <is>
          <t>2.04; 2.14; 2.20 foundation checkpoint</t>
        </is>
      </c>
      <c r="G80" s="228" t="inlineStr">
        <is>
          <t>2.04; 2.14; 2.20 foundation checkpoint</t>
        </is>
      </c>
      <c r="H80" s="228" t="inlineStr">
        <is>
          <t>2.04; 2.14; 2.20 foundation checkpoint</t>
        </is>
      </c>
      <c r="I80" s="228" t="inlineStr">
        <is>
          <t>2.04; 2.14; 2.20 foundation checkpoint</t>
        </is>
      </c>
      <c r="J80" s="228" t="inlineStr">
        <is>
          <t>2.04; 2.14; 2.20 foundation checkpoint</t>
        </is>
      </c>
      <c r="K80" s="228" t="inlineStr">
        <is>
          <t>2.04; 2.14; 2.20 foundation checkpoint</t>
        </is>
      </c>
    </row>
    <row r="81" spans="2:3" ht="62" customHeight="1" ns3:dyDescent="0.3">
      <c r="B81" s="227" t="inlineStr">
        <is>
          <t>Acceptance criteria</t>
        </is>
      </c>
      <c r="C81" s="227" t="inlineStr">
        <is>
          <t>Acceptance criteria</t>
        </is>
      </c>
      <c r="D81" s="228" t="inlineStr">
        <is>
          <t>Round-trip paths/evidence without changing repository/run/commit/path/span identity. Reject cross-snapshot references and surface write/read failures. Own path/evidence persistence logic; reuse 2.20 infrastructure and migration coordination.</t>
        </is>
      </c>
      <c r="E81" s="228" t="inlineStr">
        <is>
          <t>Round-trip paths/evidence without changing repository/run/commit/path/span identity. Reject cross-snapshot references and surface write/read failures. Own path/evidence persistence logic; reuse 2.20 infrastructure and migration coordination.</t>
        </is>
      </c>
      <c r="F81" s="228" t="inlineStr">
        <is>
          <t>Round-trip paths/evidence without changing repository/run/commit/path/span identity. Reject cross-snapshot references and surface write/read failures. Own path/evidence persistence logic; reuse 2.20 infrastructure and migration coordination.</t>
        </is>
      </c>
      <c r="G81" s="228" t="inlineStr">
        <is>
          <t>Round-trip paths/evidence without changing repository/run/commit/path/span identity. Reject cross-snapshot references and surface write/read failures. Own path/evidence persistence logic; reuse 2.20 infrastructure and migration coordination.</t>
        </is>
      </c>
      <c r="H81" s="228" t="inlineStr">
        <is>
          <t>Round-trip paths/evidence without changing repository/run/commit/path/span identity. Reject cross-snapshot references and surface write/read failures. Own path/evidence persistence logic; reuse 2.20 infrastructure and migration coordination.</t>
        </is>
      </c>
      <c r="I81" s="228" t="inlineStr">
        <is>
          <t>Round-trip paths/evidence without changing repository/run/commit/path/span identity. Reject cross-snapshot references and surface write/read failures. Own path/evidence persistence logic; reuse 2.20 infrastructure and migration coordination.</t>
        </is>
      </c>
      <c r="J81" s="228" t="inlineStr">
        <is>
          <t>Round-trip paths/evidence without changing repository/run/commit/path/span identity. Reject cross-snapshot references and surface write/read failures. Own path/evidence persistence logic; reuse 2.20 infrastructure and migration coordination.</t>
        </is>
      </c>
      <c r="K81" s="228" t="inlineStr">
        <is>
          <t>Round-trip paths/evidence without changing repository/run/commit/path/span identity. Reject cross-snapshot references and surface write/read failures. Own path/evidence persistence logic; reuse 2.20 infrastructure and migration coordination.</t>
        </is>
      </c>
    </row>
    <row r="82" spans="2:3" ht="48" customHeight="1" ns3:dyDescent="0.3">
      <c r="B82" s="227" t="inlineStr">
        <is>
          <t>Verification planned</t>
        </is>
      </c>
      <c r="C82" s="227" t="inlineStr">
        <is>
          <t>Verification planned</t>
        </is>
      </c>
      <c r="D82" s="228" t="inlineStr">
        <is>
          <t>PostgreSQL round-trip, foreign-identity rejection and failure tests; no duplicate infrastructure effort.</t>
        </is>
      </c>
      <c r="E82" s="228" t="inlineStr">
        <is>
          <t>PostgreSQL round-trip, foreign-identity rejection and failure tests; no duplicate infrastructure effort.</t>
        </is>
      </c>
      <c r="F82" s="228" t="inlineStr">
        <is>
          <t>PostgreSQL round-trip, foreign-identity rejection and failure tests; no duplicate infrastructure effort.</t>
        </is>
      </c>
      <c r="G82" s="228" t="inlineStr">
        <is>
          <t>PostgreSQL round-trip, foreign-identity rejection and failure tests; no duplicate infrastructure effort.</t>
        </is>
      </c>
      <c r="H82" s="228" t="inlineStr">
        <is>
          <t>PostgreSQL round-trip, foreign-identity rejection and failure tests; no duplicate infrastructure effort.</t>
        </is>
      </c>
      <c r="I82" s="228" t="inlineStr">
        <is>
          <t>PostgreSQL round-trip, foreign-identity rejection and failure tests; no duplicate infrastructure effort.</t>
        </is>
      </c>
      <c r="J82" s="228" t="inlineStr">
        <is>
          <t>PostgreSQL round-trip, foreign-identity rejection and failure tests; no duplicate infrastructure effort.</t>
        </is>
      </c>
      <c r="K82" s="228" t="inlineStr">
        <is>
          <t>PostgreSQL round-trip, foreign-identity rejection and failure tests; no duplicate infrastructure effort.</t>
        </is>
      </c>
    </row>
    <row r="83" spans="2:3" ht="45" customHeight="1" ns3:dyDescent="0.3">
      <c r="B83" s="227" t="inlineStr">
        <is>
          <t>Traceability / review</t>
        </is>
      </c>
      <c r="C83" s="227" t="inlineStr">
        <is>
          <t>Traceability / review</t>
        </is>
      </c>
      <c r="D83" s="228" t="inlineStr">
        <is>
          <t>PB06. Reviewer proposed: pending. Allocation: Nguyen Tan Huy 8h.</t>
        </is>
      </c>
      <c r="E83" s="228" t="inlineStr">
        <is>
          <t>PB06. Reviewer proposed: pending. Allocation: Nguyen Tan Huy 8h.</t>
        </is>
      </c>
      <c r="F83" s="228" t="inlineStr">
        <is>
          <t>PB06. Reviewer proposed: pending. Allocation: Nguyen Tan Huy 8h.</t>
        </is>
      </c>
      <c r="G83" s="228" t="inlineStr">
        <is>
          <t>PB06. Reviewer proposed: pending. Allocation: Nguyen Tan Huy 8h.</t>
        </is>
      </c>
      <c r="H83" s="228" t="inlineStr">
        <is>
          <t>PB06. Reviewer proposed: pending. Allocation: Nguyen Tan Huy 8h.</t>
        </is>
      </c>
      <c r="I83" s="228" t="inlineStr">
        <is>
          <t>PB06. Reviewer proposed: pending. Allocation: Nguyen Tan Huy 8h.</t>
        </is>
      </c>
      <c r="J83" s="228" t="inlineStr">
        <is>
          <t>PB06. Reviewer proposed: pending. Allocation: Nguyen Tan Huy 8h.</t>
        </is>
      </c>
      <c r="K83" s="228" t="inlineStr">
        <is>
          <t>PB06. Reviewer proposed: pending. Allocation: Nguyen Tan Huy 8h.</t>
        </is>
      </c>
    </row>
    <row r="84" spans="2:3" ht="13.5" customHeight="1" ns3:dyDescent="0.3">
      <c r="B84" s="7"/>
      <c r="C84" s="8"/>
    </row>
    <row r="85" spans="2:3" ht="27" customHeight="1" ns3:dyDescent="0.3">
      <c r="B85" s="225" t="inlineStr">
        <is>
          <t>2.06  Explanation payload and reusable evidence-item view</t>
        </is>
      </c>
      <c r="C85" s="225" t="inlineStr">
        <is>
          <t>2.06  Explanation payload and reusable evidence-item view</t>
        </is>
      </c>
      <c r="D85" s="226" t="inlineStr">
        <is>
          <t>2.06  Explanation payload and reusable evidence-item view</t>
        </is>
      </c>
      <c r="E85" s="226" t="inlineStr">
        <is>
          <t>2.06  Explanation payload and reusable evidence-item view</t>
        </is>
      </c>
      <c r="F85" s="226" t="inlineStr">
        <is>
          <t>2.06  Explanation payload and reusable evidence-item view</t>
        </is>
      </c>
      <c r="G85" s="226" t="inlineStr">
        <is>
          <t>2.06  Explanation payload and reusable evidence-item view</t>
        </is>
      </c>
      <c r="H85" s="226" t="inlineStr">
        <is>
          <t>2.06  Explanation payload and reusable evidence-item view</t>
        </is>
      </c>
      <c r="I85" s="226" t="inlineStr">
        <is>
          <t>2.06  Explanation payload and reusable evidence-item view</t>
        </is>
      </c>
      <c r="J85" s="226" t="inlineStr">
        <is>
          <t>2.06  Explanation payload and reusable evidence-item view</t>
        </is>
      </c>
      <c r="K85" s="226" t="inlineStr">
        <is>
          <t>2.06  Explanation payload and reusable evidence-item view</t>
        </is>
      </c>
    </row>
    <row r="86" spans="2:3" ht="32" customHeight="1" ns3:dyDescent="0.3">
      <c r="B86" s="227" t="inlineStr">
        <is>
          <t>Dependencies</t>
        </is>
      </c>
      <c r="C86" s="227" t="inlineStr">
        <is>
          <t>Dependencies</t>
        </is>
      </c>
      <c r="D86" s="228" t="inlineStr">
        <is>
          <t>2.04; 2.14; 2.05 for persisted inspection</t>
        </is>
      </c>
      <c r="E86" s="228" t="inlineStr">
        <is>
          <t>2.04; 2.14; 2.05 for persisted inspection</t>
        </is>
      </c>
      <c r="F86" s="228" t="inlineStr">
        <is>
          <t>2.04; 2.14; 2.05 for persisted inspection</t>
        </is>
      </c>
      <c r="G86" s="228" t="inlineStr">
        <is>
          <t>2.04; 2.14; 2.05 for persisted inspection</t>
        </is>
      </c>
      <c r="H86" s="228" t="inlineStr">
        <is>
          <t>2.04; 2.14; 2.05 for persisted inspection</t>
        </is>
      </c>
      <c r="I86" s="228" t="inlineStr">
        <is>
          <t>2.04; 2.14; 2.05 for persisted inspection</t>
        </is>
      </c>
      <c r="J86" s="228" t="inlineStr">
        <is>
          <t>2.04; 2.14; 2.05 for persisted inspection</t>
        </is>
      </c>
      <c r="K86" s="228" t="inlineStr">
        <is>
          <t>2.04; 2.14; 2.05 for persisted inspection</t>
        </is>
      </c>
    </row>
    <row r="87" spans="2:3" ht="62" customHeight="1" ns3:dyDescent="0.3">
      <c r="B87" s="227" t="inlineStr">
        <is>
          <t>Acceptance criteria</t>
        </is>
      </c>
      <c r="C87" s="227" t="inlineStr">
        <is>
          <t>Acceptance criteria</t>
        </is>
      </c>
      <c r="D87" s="228" t="inlineStr">
        <is>
          <t>Explanations reference supported paths and resolve evidence at the declared commit/path/range. Invalid evidence is unverified. H1 owns payload/validation; VI owns the individual evidence component reused by 2.18.</t>
        </is>
      </c>
      <c r="E87" s="228" t="inlineStr">
        <is>
          <t>Explanations reference supported paths and resolve evidence at the declared commit/path/range. Invalid evidence is unverified. H1 owns payload/validation; VI owns the individual evidence component reused by 2.18.</t>
        </is>
      </c>
      <c r="F87" s="228" t="inlineStr">
        <is>
          <t>Explanations reference supported paths and resolve evidence at the declared commit/path/range. Invalid evidence is unverified. H1 owns payload/validation; VI owns the individual evidence component reused by 2.18.</t>
        </is>
      </c>
      <c r="G87" s="228" t="inlineStr">
        <is>
          <t>Explanations reference supported paths and resolve evidence at the declared commit/path/range. Invalid evidence is unverified. H1 owns payload/validation; VI owns the individual evidence component reused by 2.18.</t>
        </is>
      </c>
      <c r="H87" s="228" t="inlineStr">
        <is>
          <t>Explanations reference supported paths and resolve evidence at the declared commit/path/range. Invalid evidence is unverified. H1 owns payload/validation; VI owns the individual evidence component reused by 2.18.</t>
        </is>
      </c>
      <c r="I87" s="228" t="inlineStr">
        <is>
          <t>Explanations reference supported paths and resolve evidence at the declared commit/path/range. Invalid evidence is unverified. H1 owns payload/validation; VI owns the individual evidence component reused by 2.18.</t>
        </is>
      </c>
      <c r="J87" s="228" t="inlineStr">
        <is>
          <t>Explanations reference supported paths and resolve evidence at the declared commit/path/range. Invalid evidence is unverified. H1 owns payload/validation; VI owns the individual evidence component reused by 2.18.</t>
        </is>
      </c>
      <c r="K87" s="228" t="inlineStr">
        <is>
          <t>Explanations reference supported paths and resolve evidence at the declared commit/path/range. Invalid evidence is unverified. H1 owns payload/validation; VI owns the individual evidence component reused by 2.18.</t>
        </is>
      </c>
    </row>
    <row r="88" spans="2:3" ht="48" customHeight="1" ns3:dyDescent="0.3">
      <c r="B88" s="227" t="inlineStr">
        <is>
          <t>Verification planned</t>
        </is>
      </c>
      <c r="C88" s="227" t="inlineStr">
        <is>
          <t>Verification planned</t>
        </is>
      </c>
      <c r="D88" s="228" t="inlineStr">
        <is>
          <t>Payload/component cases for valid, missing and mismatched evidence; no calibrated fault-probability claim.</t>
        </is>
      </c>
      <c r="E88" s="228" t="inlineStr">
        <is>
          <t>Payload/component cases for valid, missing and mismatched evidence; no calibrated fault-probability claim.</t>
        </is>
      </c>
      <c r="F88" s="228" t="inlineStr">
        <is>
          <t>Payload/component cases for valid, missing and mismatched evidence; no calibrated fault-probability claim.</t>
        </is>
      </c>
      <c r="G88" s="228" t="inlineStr">
        <is>
          <t>Payload/component cases for valid, missing and mismatched evidence; no calibrated fault-probability claim.</t>
        </is>
      </c>
      <c r="H88" s="228" t="inlineStr">
        <is>
          <t>Payload/component cases for valid, missing and mismatched evidence; no calibrated fault-probability claim.</t>
        </is>
      </c>
      <c r="I88" s="228" t="inlineStr">
        <is>
          <t>Payload/component cases for valid, missing and mismatched evidence; no calibrated fault-probability claim.</t>
        </is>
      </c>
      <c r="J88" s="228" t="inlineStr">
        <is>
          <t>Payload/component cases for valid, missing and mismatched evidence; no calibrated fault-probability claim.</t>
        </is>
      </c>
      <c r="K88" s="228" t="inlineStr">
        <is>
          <t>Payload/component cases for valid, missing and mismatched evidence; no calibrated fault-probability claim.</t>
        </is>
      </c>
    </row>
    <row r="89" spans="2:3" ht="45" customHeight="1" ns3:dyDescent="0.3">
      <c r="B89" s="227" t="inlineStr">
        <is>
          <t>Traceability / review</t>
        </is>
      </c>
      <c r="C89" s="227" t="inlineStr">
        <is>
          <t>Traceability / review</t>
        </is>
      </c>
      <c r="D89" s="228" t="inlineStr">
        <is>
          <t>PB07. Reviewer proposed: pending. Allocation: Nguyen Tan Huy 6h; Dang Dai Viet 6h.</t>
        </is>
      </c>
      <c r="E89" s="228" t="inlineStr">
        <is>
          <t>PB07. Reviewer proposed: pending. Allocation: Nguyen Tan Huy 6h; Dang Dai Viet 6h.</t>
        </is>
      </c>
      <c r="F89" s="228" t="inlineStr">
        <is>
          <t>PB07. Reviewer proposed: pending. Allocation: Nguyen Tan Huy 6h; Dang Dai Viet 6h.</t>
        </is>
      </c>
      <c r="G89" s="228" t="inlineStr">
        <is>
          <t>PB07. Reviewer proposed: pending. Allocation: Nguyen Tan Huy 6h; Dang Dai Viet 6h.</t>
        </is>
      </c>
      <c r="H89" s="228" t="inlineStr">
        <is>
          <t>PB07. Reviewer proposed: pending. Allocation: Nguyen Tan Huy 6h; Dang Dai Viet 6h.</t>
        </is>
      </c>
      <c r="I89" s="228" t="inlineStr">
        <is>
          <t>PB07. Reviewer proposed: pending. Allocation: Nguyen Tan Huy 6h; Dang Dai Viet 6h.</t>
        </is>
      </c>
      <c r="J89" s="228" t="inlineStr">
        <is>
          <t>PB07. Reviewer proposed: pending. Allocation: Nguyen Tan Huy 6h; Dang Dai Viet 6h.</t>
        </is>
      </c>
      <c r="K89" s="228" t="inlineStr">
        <is>
          <t>PB07. Reviewer proposed: pending. Allocation: Nguyen Tan Huy 6h; Dang Dai Viet 6h.</t>
        </is>
      </c>
    </row>
    <row r="90" spans="2:3" ht="13.5" customHeight="1" ns3:dyDescent="0.3">
      <c r="B90" s="7"/>
      <c r="C90" s="8"/>
    </row>
    <row r="91" spans="2:3" ht="27" customHeight="1" ns3:dyDescent="0.3">
      <c r="B91" s="225" t="inlineStr">
        <is>
          <t>2.07  Stable ordered manual-review starting points</t>
        </is>
      </c>
      <c r="C91" s="225" t="inlineStr">
        <is>
          <t>2.07  Stable ordered manual-review starting points</t>
        </is>
      </c>
      <c r="D91" s="226" t="inlineStr">
        <is>
          <t>2.07  Stable ordered manual-review starting points</t>
        </is>
      </c>
      <c r="E91" s="226" t="inlineStr">
        <is>
          <t>2.07  Stable ordered manual-review starting points</t>
        </is>
      </c>
      <c r="F91" s="226" t="inlineStr">
        <is>
          <t>2.07  Stable ordered manual-review starting points</t>
        </is>
      </c>
      <c r="G91" s="226" t="inlineStr">
        <is>
          <t>2.07  Stable ordered manual-review starting points</t>
        </is>
      </c>
      <c r="H91" s="226" t="inlineStr">
        <is>
          <t>2.07  Stable ordered manual-review starting points</t>
        </is>
      </c>
      <c r="I91" s="226" t="inlineStr">
        <is>
          <t>2.07  Stable ordered manual-review starting points</t>
        </is>
      </c>
      <c r="J91" s="226" t="inlineStr">
        <is>
          <t>2.07  Stable ordered manual-review starting points</t>
        </is>
      </c>
      <c r="K91" s="226" t="inlineStr">
        <is>
          <t>2.07  Stable ordered manual-review starting points</t>
        </is>
      </c>
    </row>
    <row r="92" spans="2:3" ht="32" customHeight="1" ns3:dyDescent="0.3">
      <c r="B92" s="227" t="inlineStr">
        <is>
          <t>Dependencies</t>
        </is>
      </c>
      <c r="C92" s="227" t="inlineStr">
        <is>
          <t>Dependencies</t>
        </is>
      </c>
      <c r="D92" s="228" t="inlineStr">
        <is>
          <t>2.01; 2.04; 2.14</t>
        </is>
      </c>
      <c r="E92" s="228" t="inlineStr">
        <is>
          <t>2.01; 2.04; 2.14</t>
        </is>
      </c>
      <c r="F92" s="228" t="inlineStr">
        <is>
          <t>2.01; 2.04; 2.14</t>
        </is>
      </c>
      <c r="G92" s="228" t="inlineStr">
        <is>
          <t>2.01; 2.04; 2.14</t>
        </is>
      </c>
      <c r="H92" s="228" t="inlineStr">
        <is>
          <t>2.01; 2.04; 2.14</t>
        </is>
      </c>
      <c r="I92" s="228" t="inlineStr">
        <is>
          <t>2.01; 2.04; 2.14</t>
        </is>
      </c>
      <c r="J92" s="228" t="inlineStr">
        <is>
          <t>2.01; 2.04; 2.14</t>
        </is>
      </c>
      <c r="K92" s="228" t="inlineStr">
        <is>
          <t>2.01; 2.04; 2.14</t>
        </is>
      </c>
    </row>
    <row r="93" spans="2:3" ht="62" customHeight="1" ns3:dyDescent="0.3">
      <c r="B93" s="227" t="inlineStr">
        <is>
          <t>Acceptance criteria</t>
        </is>
      </c>
      <c r="C93" s="227" t="inlineStr">
        <is>
          <t>Acceptance criteria</t>
        </is>
      </c>
      <c r="D93" s="228" t="inlineStr">
        <is>
          <t>Order changed executable components, direct dependents and indirect dependents according to the documented rule. Apply stable tie-breaking and deduplication; retain limitations. Ordering does not select tests or estimate fault probability.</t>
        </is>
      </c>
      <c r="E93" s="228" t="inlineStr">
        <is>
          <t>Order changed executable components, direct dependents and indirect dependents according to the documented rule. Apply stable tie-breaking and deduplication; retain limitations. Ordering does not select tests or estimate fault probability.</t>
        </is>
      </c>
      <c r="F93" s="228" t="inlineStr">
        <is>
          <t>Order changed executable components, direct dependents and indirect dependents according to the documented rule. Apply stable tie-breaking and deduplication; retain limitations. Ordering does not select tests or estimate fault probability.</t>
        </is>
      </c>
      <c r="G93" s="228" t="inlineStr">
        <is>
          <t>Order changed executable components, direct dependents and indirect dependents according to the documented rule. Apply stable tie-breaking and deduplication; retain limitations. Ordering does not select tests or estimate fault probability.</t>
        </is>
      </c>
      <c r="H93" s="228" t="inlineStr">
        <is>
          <t>Order changed executable components, direct dependents and indirect dependents according to the documented rule. Apply stable tie-breaking and deduplication; retain limitations. Ordering does not select tests or estimate fault probability.</t>
        </is>
      </c>
      <c r="I93" s="228" t="inlineStr">
        <is>
          <t>Order changed executable components, direct dependents and indirect dependents according to the documented rule. Apply stable tie-breaking and deduplication; retain limitations. Ordering does not select tests or estimate fault probability.</t>
        </is>
      </c>
      <c r="J93" s="228" t="inlineStr">
        <is>
          <t>Order changed executable components, direct dependents and indirect dependents according to the documented rule. Apply stable tie-breaking and deduplication; retain limitations. Ordering does not select tests or estimate fault probability.</t>
        </is>
      </c>
      <c r="K93" s="228" t="inlineStr">
        <is>
          <t>Order changed executable components, direct dependents and indirect dependents according to the documented rule. Apply stable tie-breaking and deduplication; retain limitations. Ordering does not select tests or estimate fault probability.</t>
        </is>
      </c>
    </row>
    <row r="94" spans="2:3" ht="48" customHeight="1" ns3:dyDescent="0.3">
      <c r="B94" s="227" t="inlineStr">
        <is>
          <t>Verification planned</t>
        </is>
      </c>
      <c r="C94" s="227" t="inlineStr">
        <is>
          <t>Verification planned</t>
        </is>
      </c>
      <c r="D94" s="228" t="inlineStr">
        <is>
          <t>Expected ordering for ties, repeated input, duplicates and partial graphs.</t>
        </is>
      </c>
      <c r="E94" s="228" t="inlineStr">
        <is>
          <t>Expected ordering for ties, repeated input, duplicates and partial graphs.</t>
        </is>
      </c>
      <c r="F94" s="228" t="inlineStr">
        <is>
          <t>Expected ordering for ties, repeated input, duplicates and partial graphs.</t>
        </is>
      </c>
      <c r="G94" s="228" t="inlineStr">
        <is>
          <t>Expected ordering for ties, repeated input, duplicates and partial graphs.</t>
        </is>
      </c>
      <c r="H94" s="228" t="inlineStr">
        <is>
          <t>Expected ordering for ties, repeated input, duplicates and partial graphs.</t>
        </is>
      </c>
      <c r="I94" s="228" t="inlineStr">
        <is>
          <t>Expected ordering for ties, repeated input, duplicates and partial graphs.</t>
        </is>
      </c>
      <c r="J94" s="228" t="inlineStr">
        <is>
          <t>Expected ordering for ties, repeated input, duplicates and partial graphs.</t>
        </is>
      </c>
      <c r="K94" s="228" t="inlineStr">
        <is>
          <t>Expected ordering for ties, repeated input, duplicates and partial graphs.</t>
        </is>
      </c>
    </row>
    <row r="95" spans="2:3" ht="45" customHeight="1" ns3:dyDescent="0.3">
      <c r="B95" s="227" t="inlineStr">
        <is>
          <t>Traceability / review</t>
        </is>
      </c>
      <c r="C95" s="227" t="inlineStr">
        <is>
          <t>Traceability / review</t>
        </is>
      </c>
      <c r="D95" s="228" t="inlineStr">
        <is>
          <t>PB08. Reviewer proposed: pending. Allocation: Dang Dai Viet 8h.</t>
        </is>
      </c>
      <c r="E95" s="228" t="inlineStr">
        <is>
          <t>PB08. Reviewer proposed: pending. Allocation: Dang Dai Viet 8h.</t>
        </is>
      </c>
      <c r="F95" s="228" t="inlineStr">
        <is>
          <t>PB08. Reviewer proposed: pending. Allocation: Dang Dai Viet 8h.</t>
        </is>
      </c>
      <c r="G95" s="228" t="inlineStr">
        <is>
          <t>PB08. Reviewer proposed: pending. Allocation: Dang Dai Viet 8h.</t>
        </is>
      </c>
      <c r="H95" s="228" t="inlineStr">
        <is>
          <t>PB08. Reviewer proposed: pending. Allocation: Dang Dai Viet 8h.</t>
        </is>
      </c>
      <c r="I95" s="228" t="inlineStr">
        <is>
          <t>PB08. Reviewer proposed: pending. Allocation: Dang Dai Viet 8h.</t>
        </is>
      </c>
      <c r="J95" s="228" t="inlineStr">
        <is>
          <t>PB08. Reviewer proposed: pending. Allocation: Dang Dai Viet 8h.</t>
        </is>
      </c>
      <c r="K95" s="228" t="inlineStr">
        <is>
          <t>PB08. Reviewer proposed: pending. Allocation: Dang Dai Viet 8h.</t>
        </is>
      </c>
    </row>
    <row r="96" spans="2:3" ht="13.5" customHeight="1" ns3:dyDescent="0.3">
      <c r="B96" s="7"/>
      <c r="C96" s="8"/>
    </row>
    <row r="97" spans="2:3" ht="27" customHeight="1" ns3:dyDescent="0.3">
      <c r="B97" s="225" t="inlineStr">
        <is>
          <t>2.08  Frozen target-version pytest inventory and provenance</t>
        </is>
      </c>
      <c r="C97" s="225" t="inlineStr">
        <is>
          <t>2.08  Frozen target-version pytest inventory and provenance</t>
        </is>
      </c>
      <c r="D97" s="226" t="inlineStr">
        <is>
          <t>2.08  Frozen target-version pytest inventory and provenance</t>
        </is>
      </c>
      <c r="E97" s="226" t="inlineStr">
        <is>
          <t>2.08  Frozen target-version pytest inventory and provenance</t>
        </is>
      </c>
      <c r="F97" s="226" t="inlineStr">
        <is>
          <t>2.08  Frozen target-version pytest inventory and provenance</t>
        </is>
      </c>
      <c r="G97" s="226" t="inlineStr">
        <is>
          <t>2.08  Frozen target-version pytest inventory and provenance</t>
        </is>
      </c>
      <c r="H97" s="226" t="inlineStr">
        <is>
          <t>2.08  Frozen target-version pytest inventory and provenance</t>
        </is>
      </c>
      <c r="I97" s="226" t="inlineStr">
        <is>
          <t>2.08  Frozen target-version pytest inventory and provenance</t>
        </is>
      </c>
      <c r="J97" s="226" t="inlineStr">
        <is>
          <t>2.08  Frozen target-version pytest inventory and provenance</t>
        </is>
      </c>
      <c r="K97" s="226" t="inlineStr">
        <is>
          <t>2.08  Frozen target-version pytest inventory and provenance</t>
        </is>
      </c>
    </row>
    <row r="98" spans="2:3" ht="32" customHeight="1" ns3:dyDescent="0.3">
      <c r="B98" s="227" t="inlineStr">
        <is>
          <t>Dependencies</t>
        </is>
      </c>
      <c r="C98" s="227" t="inlineStr">
        <is>
          <t>Dependencies</t>
        </is>
      </c>
      <c r="D98" s="228" t="inlineStr">
        <is>
          <t>2.14; 2.15; 2.20 for durable inventory</t>
        </is>
      </c>
      <c r="E98" s="228" t="inlineStr">
        <is>
          <t>2.14; 2.15; 2.20 for durable inventory</t>
        </is>
      </c>
      <c r="F98" s="228" t="inlineStr">
        <is>
          <t>2.14; 2.15; 2.20 for durable inventory</t>
        </is>
      </c>
      <c r="G98" s="228" t="inlineStr">
        <is>
          <t>2.14; 2.15; 2.20 for durable inventory</t>
        </is>
      </c>
      <c r="H98" s="228" t="inlineStr">
        <is>
          <t>2.14; 2.15; 2.20 for durable inventory</t>
        </is>
      </c>
      <c r="I98" s="228" t="inlineStr">
        <is>
          <t>2.14; 2.15; 2.20 for durable inventory</t>
        </is>
      </c>
      <c r="J98" s="228" t="inlineStr">
        <is>
          <t>2.14; 2.15; 2.20 for durable inventory</t>
        </is>
      </c>
      <c r="K98" s="228" t="inlineStr">
        <is>
          <t>2.14; 2.15; 2.20 for durable inventory</t>
        </is>
      </c>
    </row>
    <row r="99" spans="2:3" ht="62" customHeight="1" ns3:dyDescent="0.3">
      <c r="B99" s="227" t="inlineStr">
        <is>
          <t>Acceptance criteria</t>
        </is>
      </c>
      <c r="C99" s="227" t="inlineStr">
        <is>
          <t>Acceptance criteria</t>
        </is>
      </c>
      <c r="D99" s="228" t="inlineStr">
        <is>
          <t>Collect existing target test IDs in an isolated runner; conftest/install hooks never run in API/dashboard or directly on host. IDs bind to repo/run/target and adapter configuration. Preserve time/resource/output limits and failure details.</t>
        </is>
      </c>
      <c r="E99" s="228" t="inlineStr">
        <is>
          <t>Collect existing target test IDs in an isolated runner; conftest/install hooks never run in API/dashboard or directly on host. IDs bind to repo/run/target and adapter configuration. Preserve time/resource/output limits and failure details.</t>
        </is>
      </c>
      <c r="F99" s="228" t="inlineStr">
        <is>
          <t>Collect existing target test IDs in an isolated runner; conftest/install hooks never run in API/dashboard or directly on host. IDs bind to repo/run/target and adapter configuration. Preserve time/resource/output limits and failure details.</t>
        </is>
      </c>
      <c r="G99" s="228" t="inlineStr">
        <is>
          <t>Collect existing target test IDs in an isolated runner; conftest/install hooks never run in API/dashboard or directly on host. IDs bind to repo/run/target and adapter configuration. Preserve time/resource/output limits and failure details.</t>
        </is>
      </c>
      <c r="H99" s="228" t="inlineStr">
        <is>
          <t>Collect existing target test IDs in an isolated runner; conftest/install hooks never run in API/dashboard or directly on host. IDs bind to repo/run/target and adapter configuration. Preserve time/resource/output limits and failure details.</t>
        </is>
      </c>
      <c r="I99" s="228" t="inlineStr">
        <is>
          <t>Collect existing target test IDs in an isolated runner; conftest/install hooks never run in API/dashboard or directly on host. IDs bind to repo/run/target and adapter configuration. Preserve time/resource/output limits and failure details.</t>
        </is>
      </c>
      <c r="J99" s="228" t="inlineStr">
        <is>
          <t>Collect existing target test IDs in an isolated runner; conftest/install hooks never run in API/dashboard or directly on host. IDs bind to repo/run/target and adapter configuration. Preserve time/resource/output limits and failure details.</t>
        </is>
      </c>
      <c r="K99" s="228" t="inlineStr">
        <is>
          <t>Collect existing target test IDs in an isolated runner; conftest/install hooks never run in API/dashboard or directly on host. IDs bind to repo/run/target and adapter configuration. Preserve time/resource/output limits and failure details.</t>
        </is>
      </c>
    </row>
    <row r="100" spans="2:3" ht="48" customHeight="1" ns3:dyDescent="0.3">
      <c r="B100" s="227" t="inlineStr">
        <is>
          <t>Verification planned</t>
        </is>
      </c>
      <c r="C100" s="227" t="inlineStr">
        <is>
          <t>Verification planned</t>
        </is>
      </c>
      <c r="D100" s="228" t="inlineStr">
        <is>
          <t>Authorized fixture/candidate inventory reproduction; wrong snapshot, timeout and collection-error checks. Reuse persistence foundation.</t>
        </is>
      </c>
      <c r="E100" s="228" t="inlineStr">
        <is>
          <t>Authorized fixture/candidate inventory reproduction; wrong snapshot, timeout and collection-error checks. Reuse persistence foundation.</t>
        </is>
      </c>
      <c r="F100" s="228" t="inlineStr">
        <is>
          <t>Authorized fixture/candidate inventory reproduction; wrong snapshot, timeout and collection-error checks. Reuse persistence foundation.</t>
        </is>
      </c>
      <c r="G100" s="228" t="inlineStr">
        <is>
          <t>Authorized fixture/candidate inventory reproduction; wrong snapshot, timeout and collection-error checks. Reuse persistence foundation.</t>
        </is>
      </c>
      <c r="H100" s="228" t="inlineStr">
        <is>
          <t>Authorized fixture/candidate inventory reproduction; wrong snapshot, timeout and collection-error checks. Reuse persistence foundation.</t>
        </is>
      </c>
      <c r="I100" s="228" t="inlineStr">
        <is>
          <t>Authorized fixture/candidate inventory reproduction; wrong snapshot, timeout and collection-error checks. Reuse persistence foundation.</t>
        </is>
      </c>
      <c r="J100" s="228" t="inlineStr">
        <is>
          <t>Authorized fixture/candidate inventory reproduction; wrong snapshot, timeout and collection-error checks. Reuse persistence foundation.</t>
        </is>
      </c>
      <c r="K100" s="228" t="inlineStr">
        <is>
          <t>Authorized fixture/candidate inventory reproduction; wrong snapshot, timeout and collection-error checks. Reuse persistence foundation.</t>
        </is>
      </c>
    </row>
    <row r="101" spans="2:3" ht="45" customHeight="1" ns3:dyDescent="0.3">
      <c r="B101" s="227" t="inlineStr">
        <is>
          <t>Traceability / review</t>
        </is>
      </c>
      <c r="C101" s="227" t="inlineStr">
        <is>
          <t>Traceability / review</t>
        </is>
      </c>
      <c r="D101" s="228" t="inlineStr">
        <is>
          <t>PB09. Reviewer proposed: pending. Allocation: Tran Hung Khanh 12h.</t>
        </is>
      </c>
      <c r="E101" s="228" t="inlineStr">
        <is>
          <t>PB09. Reviewer proposed: pending. Allocation: Tran Hung Khanh 12h.</t>
        </is>
      </c>
      <c r="F101" s="228" t="inlineStr">
        <is>
          <t>PB09. Reviewer proposed: pending. Allocation: Tran Hung Khanh 12h.</t>
        </is>
      </c>
      <c r="G101" s="228" t="inlineStr">
        <is>
          <t>PB09. Reviewer proposed: pending. Allocation: Tran Hung Khanh 12h.</t>
        </is>
      </c>
      <c r="H101" s="228" t="inlineStr">
        <is>
          <t>PB09. Reviewer proposed: pending. Allocation: Tran Hung Khanh 12h.</t>
        </is>
      </c>
      <c r="I101" s="228" t="inlineStr">
        <is>
          <t>PB09. Reviewer proposed: pending. Allocation: Tran Hung Khanh 12h.</t>
        </is>
      </c>
      <c r="J101" s="228" t="inlineStr">
        <is>
          <t>PB09. Reviewer proposed: pending. Allocation: Tran Hung Khanh 12h.</t>
        </is>
      </c>
      <c r="K101" s="228" t="inlineStr">
        <is>
          <t>PB09. Reviewer proposed: pending. Allocation: Tran Hung Khanh 12h.</t>
        </is>
      </c>
    </row>
    <row r="102" spans="2:3" ht="13.5" customHeight="1" ns3:dyDescent="0.3">
      <c r="B102" s="7"/>
      <c r="C102" s="8"/>
    </row>
    <row r="103" spans="2:3" ht="27" customHeight="1" ns3:dyDescent="0.3">
      <c r="B103" s="225" t="inlineStr">
        <is>
          <t>2.09  Explicit inventory completeness and failure states</t>
        </is>
      </c>
      <c r="C103" s="225" t="inlineStr">
        <is>
          <t>2.09  Explicit inventory completeness and failure states</t>
        </is>
      </c>
      <c r="D103" s="226" t="inlineStr">
        <is>
          <t>2.09  Explicit inventory completeness and failure states</t>
        </is>
      </c>
      <c r="E103" s="226" t="inlineStr">
        <is>
          <t>2.09  Explicit inventory completeness and failure states</t>
        </is>
      </c>
      <c r="F103" s="226" t="inlineStr">
        <is>
          <t>2.09  Explicit inventory completeness and failure states</t>
        </is>
      </c>
      <c r="G103" s="226" t="inlineStr">
        <is>
          <t>2.09  Explicit inventory completeness and failure states</t>
        </is>
      </c>
      <c r="H103" s="226" t="inlineStr">
        <is>
          <t>2.09  Explicit inventory completeness and failure states</t>
        </is>
      </c>
      <c r="I103" s="226" t="inlineStr">
        <is>
          <t>2.09  Explicit inventory completeness and failure states</t>
        </is>
      </c>
      <c r="J103" s="226" t="inlineStr">
        <is>
          <t>2.09  Explicit inventory completeness and failure states</t>
        </is>
      </c>
      <c r="K103" s="226" t="inlineStr">
        <is>
          <t>2.09  Explicit inventory completeness and failure states</t>
        </is>
      </c>
    </row>
    <row r="104" spans="2:3" ht="32" customHeight="1" ns3:dyDescent="0.3">
      <c r="B104" s="227" t="inlineStr">
        <is>
          <t>Dependencies</t>
        </is>
      </c>
      <c r="C104" s="227" t="inlineStr">
        <is>
          <t>Dependencies</t>
        </is>
      </c>
      <c r="D104" s="228" t="inlineStr">
        <is>
          <t>2.08; 2.14</t>
        </is>
      </c>
      <c r="E104" s="228" t="inlineStr">
        <is>
          <t>2.08; 2.14</t>
        </is>
      </c>
      <c r="F104" s="228" t="inlineStr">
        <is>
          <t>2.08; 2.14</t>
        </is>
      </c>
      <c r="G104" s="228" t="inlineStr">
        <is>
          <t>2.08; 2.14</t>
        </is>
      </c>
      <c r="H104" s="228" t="inlineStr">
        <is>
          <t>2.08; 2.14</t>
        </is>
      </c>
      <c r="I104" s="228" t="inlineStr">
        <is>
          <t>2.08; 2.14</t>
        </is>
      </c>
      <c r="J104" s="228" t="inlineStr">
        <is>
          <t>2.08; 2.14</t>
        </is>
      </c>
      <c r="K104" s="228" t="inlineStr">
        <is>
          <t>2.08; 2.14</t>
        </is>
      </c>
    </row>
    <row r="105" spans="2:3" ht="62" customHeight="1" ns3:dyDescent="0.3">
      <c r="B105" s="227" t="inlineStr">
        <is>
          <t>Acceptance criteria</t>
        </is>
      </c>
      <c r="C105" s="227" t="inlineStr">
        <is>
          <t>Acceptance criteria</t>
        </is>
      </c>
      <c r="D105" s="228" t="inlineStr">
        <is>
          <t>Successful empty inventory differs from partial collection, timeout and discovery failure. Propagate actionable reasons without treating failure as safe empty selection. Preserve native test IDs and duplicate handling.</t>
        </is>
      </c>
      <c r="E105" s="228" t="inlineStr">
        <is>
          <t>Successful empty inventory differs from partial collection, timeout and discovery failure. Propagate actionable reasons without treating failure as safe empty selection. Preserve native test IDs and duplicate handling.</t>
        </is>
      </c>
      <c r="F105" s="228" t="inlineStr">
        <is>
          <t>Successful empty inventory differs from partial collection, timeout and discovery failure. Propagate actionable reasons without treating failure as safe empty selection. Preserve native test IDs and duplicate handling.</t>
        </is>
      </c>
      <c r="G105" s="228" t="inlineStr">
        <is>
          <t>Successful empty inventory differs from partial collection, timeout and discovery failure. Propagate actionable reasons without treating failure as safe empty selection. Preserve native test IDs and duplicate handling.</t>
        </is>
      </c>
      <c r="H105" s="228" t="inlineStr">
        <is>
          <t>Successful empty inventory differs from partial collection, timeout and discovery failure. Propagate actionable reasons without treating failure as safe empty selection. Preserve native test IDs and duplicate handling.</t>
        </is>
      </c>
      <c r="I105" s="228" t="inlineStr">
        <is>
          <t>Successful empty inventory differs from partial collection, timeout and discovery failure. Propagate actionable reasons without treating failure as safe empty selection. Preserve native test IDs and duplicate handling.</t>
        </is>
      </c>
      <c r="J105" s="228" t="inlineStr">
        <is>
          <t>Successful empty inventory differs from partial collection, timeout and discovery failure. Propagate actionable reasons without treating failure as safe empty selection. Preserve native test IDs and duplicate handling.</t>
        </is>
      </c>
      <c r="K105" s="228" t="inlineStr">
        <is>
          <t>Successful empty inventory differs from partial collection, timeout and discovery failure. Propagate actionable reasons without treating failure as safe empty selection. Preserve native test IDs and duplicate handling.</t>
        </is>
      </c>
    </row>
    <row r="106" spans="2:3" ht="48" customHeight="1" ns3:dyDescent="0.3">
      <c r="B106" s="227" t="inlineStr">
        <is>
          <t>Verification planned</t>
        </is>
      </c>
      <c r="C106" s="227" t="inlineStr">
        <is>
          <t>Verification planned</t>
        </is>
      </c>
      <c r="D106" s="228" t="inlineStr">
        <is>
          <t>Isolated fixtures for successful empty, collection exception, timeout, partial and duplicate inventory.</t>
        </is>
      </c>
      <c r="E106" s="228" t="inlineStr">
        <is>
          <t>Isolated fixtures for successful empty, collection exception, timeout, partial and duplicate inventory.</t>
        </is>
      </c>
      <c r="F106" s="228" t="inlineStr">
        <is>
          <t>Isolated fixtures for successful empty, collection exception, timeout, partial and duplicate inventory.</t>
        </is>
      </c>
      <c r="G106" s="228" t="inlineStr">
        <is>
          <t>Isolated fixtures for successful empty, collection exception, timeout, partial and duplicate inventory.</t>
        </is>
      </c>
      <c r="H106" s="228" t="inlineStr">
        <is>
          <t>Isolated fixtures for successful empty, collection exception, timeout, partial and duplicate inventory.</t>
        </is>
      </c>
      <c r="I106" s="228" t="inlineStr">
        <is>
          <t>Isolated fixtures for successful empty, collection exception, timeout, partial and duplicate inventory.</t>
        </is>
      </c>
      <c r="J106" s="228" t="inlineStr">
        <is>
          <t>Isolated fixtures for successful empty, collection exception, timeout, partial and duplicate inventory.</t>
        </is>
      </c>
      <c r="K106" s="228" t="inlineStr">
        <is>
          <t>Isolated fixtures for successful empty, collection exception, timeout, partial and duplicate inventory.</t>
        </is>
      </c>
    </row>
    <row r="107" spans="2:3" ht="45" customHeight="1" ns3:dyDescent="0.3">
      <c r="B107" s="227" t="inlineStr">
        <is>
          <t>Traceability / review</t>
        </is>
      </c>
      <c r="C107" s="227" t="inlineStr">
        <is>
          <t>Traceability / review</t>
        </is>
      </c>
      <c r="D107" s="228" t="inlineStr">
        <is>
          <t>PB09. Reviewer proposed: pending. Allocation: Tran Hung Khanh 6h.</t>
        </is>
      </c>
      <c r="E107" s="228" t="inlineStr">
        <is>
          <t>PB09. Reviewer proposed: pending. Allocation: Tran Hung Khanh 6h.</t>
        </is>
      </c>
      <c r="F107" s="228" t="inlineStr">
        <is>
          <t>PB09. Reviewer proposed: pending. Allocation: Tran Hung Khanh 6h.</t>
        </is>
      </c>
      <c r="G107" s="228" t="inlineStr">
        <is>
          <t>PB09. Reviewer proposed: pending. Allocation: Tran Hung Khanh 6h.</t>
        </is>
      </c>
      <c r="H107" s="228" t="inlineStr">
        <is>
          <t>PB09. Reviewer proposed: pending. Allocation: Tran Hung Khanh 6h.</t>
        </is>
      </c>
      <c r="I107" s="228" t="inlineStr">
        <is>
          <t>PB09. Reviewer proposed: pending. Allocation: Tran Hung Khanh 6h.</t>
        </is>
      </c>
      <c r="J107" s="228" t="inlineStr">
        <is>
          <t>PB09. Reviewer proposed: pending. Allocation: Tran Hung Khanh 6h.</t>
        </is>
      </c>
      <c r="K107" s="228" t="inlineStr">
        <is>
          <t>PB09. Reviewer proposed: pending. Allocation: Tran Hung Khanh 6h.</t>
        </is>
      </c>
    </row>
    <row r="108" spans="2:3" ht="13.5" customHeight="1" ns3:dyDescent="0.3">
      <c r="B108" s="7"/>
      <c r="C108" s="8"/>
    </row>
    <row r="109" spans="2:3" ht="27" customHeight="1" ns3:dyDescent="0.3">
      <c r="B109" s="225" t="inlineStr">
        <is>
          <t>2.10  Snapshot index, chunk manifest and retrieval metadata</t>
        </is>
      </c>
      <c r="C109" s="225" t="inlineStr">
        <is>
          <t>2.10  Snapshot index, chunk manifest and retrieval metadata</t>
        </is>
      </c>
      <c r="D109" s="226" t="inlineStr">
        <is>
          <t>2.10  Snapshot index, chunk manifest and retrieval metadata</t>
        </is>
      </c>
      <c r="E109" s="226" t="inlineStr">
        <is>
          <t>2.10  Snapshot index, chunk manifest and retrieval metadata</t>
        </is>
      </c>
      <c r="F109" s="226" t="inlineStr">
        <is>
          <t>2.10  Snapshot index, chunk manifest and retrieval metadata</t>
        </is>
      </c>
      <c r="G109" s="226" t="inlineStr">
        <is>
          <t>2.10  Snapshot index, chunk manifest and retrieval metadata</t>
        </is>
      </c>
      <c r="H109" s="226" t="inlineStr">
        <is>
          <t>2.10  Snapshot index, chunk manifest and retrieval metadata</t>
        </is>
      </c>
      <c r="I109" s="226" t="inlineStr">
        <is>
          <t>2.10  Snapshot index, chunk manifest and retrieval metadata</t>
        </is>
      </c>
      <c r="J109" s="226" t="inlineStr">
        <is>
          <t>2.10  Snapshot index, chunk manifest and retrieval metadata</t>
        </is>
      </c>
      <c r="K109" s="226" t="inlineStr">
        <is>
          <t>2.10  Snapshot index, chunk manifest and retrieval metadata</t>
        </is>
      </c>
    </row>
    <row r="110" spans="2:3" ht="32" customHeight="1" ns3:dyDescent="0.3">
      <c r="B110" s="227" t="inlineStr">
        <is>
          <t>Dependencies</t>
        </is>
      </c>
      <c r="C110" s="227" t="inlineStr">
        <is>
          <t>Dependencies</t>
        </is>
      </c>
      <c r="D110" s="228" t="inlineStr">
        <is>
          <t>2.14; 2.15; retrieval decision; 2.20 metadata checkpoint</t>
        </is>
      </c>
      <c r="E110" s="228" t="inlineStr">
        <is>
          <t>2.14; 2.15; retrieval decision; 2.20 metadata checkpoint</t>
        </is>
      </c>
      <c r="F110" s="228" t="inlineStr">
        <is>
          <t>2.14; 2.15; retrieval decision; 2.20 metadata checkpoint</t>
        </is>
      </c>
      <c r="G110" s="228" t="inlineStr">
        <is>
          <t>2.14; 2.15; retrieval decision; 2.20 metadata checkpoint</t>
        </is>
      </c>
      <c r="H110" s="228" t="inlineStr">
        <is>
          <t>2.14; 2.15; retrieval decision; 2.20 metadata checkpoint</t>
        </is>
      </c>
      <c r="I110" s="228" t="inlineStr">
        <is>
          <t>2.14; 2.15; retrieval decision; 2.20 metadata checkpoint</t>
        </is>
      </c>
      <c r="J110" s="228" t="inlineStr">
        <is>
          <t>2.14; 2.15; retrieval decision; 2.20 metadata checkpoint</t>
        </is>
      </c>
      <c r="K110" s="228" t="inlineStr">
        <is>
          <t>2.14; 2.15; retrieval decision; 2.20 metadata checkpoint</t>
        </is>
      </c>
    </row>
    <row r="111" spans="2:3" ht="62" customHeight="1" ns3:dyDescent="0.3">
      <c r="B111" s="227" t="inlineStr">
        <is>
          <t>Acceptance criteria</t>
        </is>
      </c>
      <c r="C111" s="227" t="inlineStr">
        <is>
          <t>Acceptance criteria</t>
        </is>
      </c>
      <c r="D111" s="228" t="inlineStr">
        <is>
          <t>Index only permitted source/tests/docs with repo/commit/path/range/content hash and index version. Exclude secrets, fault labels and reference outcomes. Stale/incomplete builds cannot be ready. H2 owns index; KH owns exclusions/leakage checks.</t>
        </is>
      </c>
      <c r="E111" s="228" t="inlineStr">
        <is>
          <t>Index only permitted source/tests/docs with repo/commit/path/range/content hash and index version. Exclude secrets, fault labels and reference outcomes. Stale/incomplete builds cannot be ready. H2 owns index; KH owns exclusions/leakage checks.</t>
        </is>
      </c>
      <c r="F111" s="228" t="inlineStr">
        <is>
          <t>Index only permitted source/tests/docs with repo/commit/path/range/content hash and index version. Exclude secrets, fault labels and reference outcomes. Stale/incomplete builds cannot be ready. H2 owns index; KH owns exclusions/leakage checks.</t>
        </is>
      </c>
      <c r="G111" s="228" t="inlineStr">
        <is>
          <t>Index only permitted source/tests/docs with repo/commit/path/range/content hash and index version. Exclude secrets, fault labels and reference outcomes. Stale/incomplete builds cannot be ready. H2 owns index; KH owns exclusions/leakage checks.</t>
        </is>
      </c>
      <c r="H111" s="228" t="inlineStr">
        <is>
          <t>Index only permitted source/tests/docs with repo/commit/path/range/content hash and index version. Exclude secrets, fault labels and reference outcomes. Stale/incomplete builds cannot be ready. H2 owns index; KH owns exclusions/leakage checks.</t>
        </is>
      </c>
      <c r="I111" s="228" t="inlineStr">
        <is>
          <t>Index only permitted source/tests/docs with repo/commit/path/range/content hash and index version. Exclude secrets, fault labels and reference outcomes. Stale/incomplete builds cannot be ready. H2 owns index; KH owns exclusions/leakage checks.</t>
        </is>
      </c>
      <c r="J111" s="228" t="inlineStr">
        <is>
          <t>Index only permitted source/tests/docs with repo/commit/path/range/content hash and index version. Exclude secrets, fault labels and reference outcomes. Stale/incomplete builds cannot be ready. H2 owns index; KH owns exclusions/leakage checks.</t>
        </is>
      </c>
      <c r="K111" s="228" t="inlineStr">
        <is>
          <t>Index only permitted source/tests/docs with repo/commit/path/range/content hash and index version. Exclude secrets, fault labels and reference outcomes. Stale/incomplete builds cannot be ready. H2 owns index; KH owns exclusions/leakage checks.</t>
        </is>
      </c>
    </row>
    <row r="112" spans="2:3" ht="48" customHeight="1" ns3:dyDescent="0.3">
      <c r="B112" s="227" t="inlineStr">
        <is>
          <t>Verification planned</t>
        </is>
      </c>
      <c r="C112" s="227" t="inlineStr">
        <is>
          <t>Verification planned</t>
        </is>
      </c>
      <c r="D112" s="228" t="inlineStr">
        <is>
          <t>Manifest/provenance, content-hash and exclusion fixtures. Retrieval backend/embedding decision precedes implementation; PostgreSQL stores metadata, not implicitly vectors.</t>
        </is>
      </c>
      <c r="E112" s="228" t="inlineStr">
        <is>
          <t>Manifest/provenance, content-hash and exclusion fixtures. Retrieval backend/embedding decision precedes implementation; PostgreSQL stores metadata, not implicitly vectors.</t>
        </is>
      </c>
      <c r="F112" s="228" t="inlineStr">
        <is>
          <t>Manifest/provenance, content-hash and exclusion fixtures. Retrieval backend/embedding decision precedes implementation; PostgreSQL stores metadata, not implicitly vectors.</t>
        </is>
      </c>
      <c r="G112" s="228" t="inlineStr">
        <is>
          <t>Manifest/provenance, content-hash and exclusion fixtures. Retrieval backend/embedding decision precedes implementation; PostgreSQL stores metadata, not implicitly vectors.</t>
        </is>
      </c>
      <c r="H112" s="228" t="inlineStr">
        <is>
          <t>Manifest/provenance, content-hash and exclusion fixtures. Retrieval backend/embedding decision precedes implementation; PostgreSQL stores metadata, not implicitly vectors.</t>
        </is>
      </c>
      <c r="I112" s="228" t="inlineStr">
        <is>
          <t>Manifest/provenance, content-hash and exclusion fixtures. Retrieval backend/embedding decision precedes implementation; PostgreSQL stores metadata, not implicitly vectors.</t>
        </is>
      </c>
      <c r="J112" s="228" t="inlineStr">
        <is>
          <t>Manifest/provenance, content-hash and exclusion fixtures. Retrieval backend/embedding decision precedes implementation; PostgreSQL stores metadata, not implicitly vectors.</t>
        </is>
      </c>
      <c r="K112" s="228" t="inlineStr">
        <is>
          <t>Manifest/provenance, content-hash and exclusion fixtures. Retrieval backend/embedding decision precedes implementation; PostgreSQL stores metadata, not implicitly vectors.</t>
        </is>
      </c>
    </row>
    <row r="113" spans="2:3" ht="45" customHeight="1" ns3:dyDescent="0.3">
      <c r="B113" s="227" t="inlineStr">
        <is>
          <t>Traceability / review</t>
        </is>
      </c>
      <c r="C113" s="227" t="inlineStr">
        <is>
          <t>Traceability / review</t>
        </is>
      </c>
      <c r="D113" s="228" t="inlineStr">
        <is>
          <t>PB19. Reviewer proposed: pending. Allocation: Pham Phan Hoang Huy 12h; Tran Hung Khanh 4h.</t>
        </is>
      </c>
      <c r="E113" s="228" t="inlineStr">
        <is>
          <t>PB19. Reviewer proposed: pending. Allocation: Pham Phan Hoang Huy 12h; Tran Hung Khanh 4h.</t>
        </is>
      </c>
      <c r="F113" s="228" t="inlineStr">
        <is>
          <t>PB19. Reviewer proposed: pending. Allocation: Pham Phan Hoang Huy 12h; Tran Hung Khanh 4h.</t>
        </is>
      </c>
      <c r="G113" s="228" t="inlineStr">
        <is>
          <t>PB19. Reviewer proposed: pending. Allocation: Pham Phan Hoang Huy 12h; Tran Hung Khanh 4h.</t>
        </is>
      </c>
      <c r="H113" s="228" t="inlineStr">
        <is>
          <t>PB19. Reviewer proposed: pending. Allocation: Pham Phan Hoang Huy 12h; Tran Hung Khanh 4h.</t>
        </is>
      </c>
      <c r="I113" s="228" t="inlineStr">
        <is>
          <t>PB19. Reviewer proposed: pending. Allocation: Pham Phan Hoang Huy 12h; Tran Hung Khanh 4h.</t>
        </is>
      </c>
      <c r="J113" s="228" t="inlineStr">
        <is>
          <t>PB19. Reviewer proposed: pending. Allocation: Pham Phan Hoang Huy 12h; Tran Hung Khanh 4h.</t>
        </is>
      </c>
      <c r="K113" s="228" t="inlineStr">
        <is>
          <t>PB19. Reviewer proposed: pending. Allocation: Pham Phan Hoang Huy 12h; Tran Hung Khanh 4h.</t>
        </is>
      </c>
    </row>
    <row r="114" spans="2:3" ht="13.5" customHeight="1" ns3:dyDescent="0.3">
      <c r="B114" s="7"/>
      <c r="C114" s="8"/>
    </row>
    <row r="115" spans="2:3" ht="27" customHeight="1" ns3:dyDescent="0.3">
      <c r="B115" s="225" t="inlineStr">
        <is>
          <t>2.11  Change-relevant retrieved context with provenance</t>
        </is>
      </c>
      <c r="C115" s="225" t="inlineStr">
        <is>
          <t>2.11  Change-relevant retrieved context with provenance</t>
        </is>
      </c>
      <c r="D115" s="226" t="inlineStr">
        <is>
          <t>2.11  Change-relevant retrieved context with provenance</t>
        </is>
      </c>
      <c r="E115" s="226" t="inlineStr">
        <is>
          <t>2.11  Change-relevant retrieved context with provenance</t>
        </is>
      </c>
      <c r="F115" s="226" t="inlineStr">
        <is>
          <t>2.11  Change-relevant retrieved context with provenance</t>
        </is>
      </c>
      <c r="G115" s="226" t="inlineStr">
        <is>
          <t>2.11  Change-relevant retrieved context with provenance</t>
        </is>
      </c>
      <c r="H115" s="226" t="inlineStr">
        <is>
          <t>2.11  Change-relevant retrieved context with provenance</t>
        </is>
      </c>
      <c r="I115" s="226" t="inlineStr">
        <is>
          <t>2.11  Change-relevant retrieved context with provenance</t>
        </is>
      </c>
      <c r="J115" s="226" t="inlineStr">
        <is>
          <t>2.11  Change-relevant retrieved context with provenance</t>
        </is>
      </c>
      <c r="K115" s="226" t="inlineStr">
        <is>
          <t>2.11  Change-relevant retrieved context with provenance</t>
        </is>
      </c>
    </row>
    <row r="116" spans="2:3" ht="32" customHeight="1" ns3:dyDescent="0.3">
      <c r="B116" s="227" t="inlineStr">
        <is>
          <t>Dependencies</t>
        </is>
      </c>
      <c r="C116" s="227" t="inlineStr">
        <is>
          <t>Dependencies</t>
        </is>
      </c>
      <c r="D116" s="228" t="inlineStr">
        <is>
          <t>2.10; 2.01; 2.04; 2.14</t>
        </is>
      </c>
      <c r="E116" s="228" t="inlineStr">
        <is>
          <t>2.10; 2.01; 2.04; 2.14</t>
        </is>
      </c>
      <c r="F116" s="228" t="inlineStr">
        <is>
          <t>2.10; 2.01; 2.04; 2.14</t>
        </is>
      </c>
      <c r="G116" s="228" t="inlineStr">
        <is>
          <t>2.10; 2.01; 2.04; 2.14</t>
        </is>
      </c>
      <c r="H116" s="228" t="inlineStr">
        <is>
          <t>2.10; 2.01; 2.04; 2.14</t>
        </is>
      </c>
      <c r="I116" s="228" t="inlineStr">
        <is>
          <t>2.10; 2.01; 2.04; 2.14</t>
        </is>
      </c>
      <c r="J116" s="228" t="inlineStr">
        <is>
          <t>2.10; 2.01; 2.04; 2.14</t>
        </is>
      </c>
      <c r="K116" s="228" t="inlineStr">
        <is>
          <t>2.10; 2.01; 2.04; 2.14</t>
        </is>
      </c>
    </row>
    <row r="117" spans="2:3" ht="62" customHeight="1" ns3:dyDescent="0.3">
      <c r="B117" s="227" t="inlineStr">
        <is>
          <t>Acceptance criteria</t>
        </is>
      </c>
      <c r="C117" s="227" t="inlineStr">
        <is>
          <t>Acceptance criteria</t>
        </is>
      </c>
      <c r="D117" s="228" t="inlineStr">
        <is>
          <t>Query only an index matching repository and frozen commit semantics. Return sources and limitations; stale/wrong-repo indexes fail explicitly. Context construction excludes reference outcomes/fault labels and does not execute retrieved instructions.</t>
        </is>
      </c>
      <c r="E117" s="228" t="inlineStr">
        <is>
          <t>Query only an index matching repository and frozen commit semantics. Return sources and limitations; stale/wrong-repo indexes fail explicitly. Context construction excludes reference outcomes/fault labels and does not execute retrieved instructions.</t>
        </is>
      </c>
      <c r="F117" s="228" t="inlineStr">
        <is>
          <t>Query only an index matching repository and frozen commit semantics. Return sources and limitations; stale/wrong-repo indexes fail explicitly. Context construction excludes reference outcomes/fault labels and does not execute retrieved instructions.</t>
        </is>
      </c>
      <c r="G117" s="228" t="inlineStr">
        <is>
          <t>Query only an index matching repository and frozen commit semantics. Return sources and limitations; stale/wrong-repo indexes fail explicitly. Context construction excludes reference outcomes/fault labels and does not execute retrieved instructions.</t>
        </is>
      </c>
      <c r="H117" s="228" t="inlineStr">
        <is>
          <t>Query only an index matching repository and frozen commit semantics. Return sources and limitations; stale/wrong-repo indexes fail explicitly. Context construction excludes reference outcomes/fault labels and does not execute retrieved instructions.</t>
        </is>
      </c>
      <c r="I117" s="228" t="inlineStr">
        <is>
          <t>Query only an index matching repository and frozen commit semantics. Return sources and limitations; stale/wrong-repo indexes fail explicitly. Context construction excludes reference outcomes/fault labels and does not execute retrieved instructions.</t>
        </is>
      </c>
      <c r="J117" s="228" t="inlineStr">
        <is>
          <t>Query only an index matching repository and frozen commit semantics. Return sources and limitations; stale/wrong-repo indexes fail explicitly. Context construction excludes reference outcomes/fault labels and does not execute retrieved instructions.</t>
        </is>
      </c>
      <c r="K117" s="228" t="inlineStr">
        <is>
          <t>Query only an index matching repository and frozen commit semantics. Return sources and limitations; stale/wrong-repo indexes fail explicitly. Context construction excludes reference outcomes/fault labels and does not execute retrieved instructions.</t>
        </is>
      </c>
    </row>
    <row r="118" spans="2:3" ht="48" customHeight="1" ns3:dyDescent="0.3">
      <c r="B118" s="227" t="inlineStr">
        <is>
          <t>Verification planned</t>
        </is>
      </c>
      <c r="C118" s="227" t="inlineStr">
        <is>
          <t>Verification planned</t>
        </is>
      </c>
      <c r="D118" s="228" t="inlineStr">
        <is>
          <t>Authorized snapshot fixtures for relevant, empty, stale and wrong-repo retrieval; retain query and source metadata.</t>
        </is>
      </c>
      <c r="E118" s="228" t="inlineStr">
        <is>
          <t>Authorized snapshot fixtures for relevant, empty, stale and wrong-repo retrieval; retain query and source metadata.</t>
        </is>
      </c>
      <c r="F118" s="228" t="inlineStr">
        <is>
          <t>Authorized snapshot fixtures for relevant, empty, stale and wrong-repo retrieval; retain query and source metadata.</t>
        </is>
      </c>
      <c r="G118" s="228" t="inlineStr">
        <is>
          <t>Authorized snapshot fixtures for relevant, empty, stale and wrong-repo retrieval; retain query and source metadata.</t>
        </is>
      </c>
      <c r="H118" s="228" t="inlineStr">
        <is>
          <t>Authorized snapshot fixtures for relevant, empty, stale and wrong-repo retrieval; retain query and source metadata.</t>
        </is>
      </c>
      <c r="I118" s="228" t="inlineStr">
        <is>
          <t>Authorized snapshot fixtures for relevant, empty, stale and wrong-repo retrieval; retain query and source metadata.</t>
        </is>
      </c>
      <c r="J118" s="228" t="inlineStr">
        <is>
          <t>Authorized snapshot fixtures for relevant, empty, stale and wrong-repo retrieval; retain query and source metadata.</t>
        </is>
      </c>
      <c r="K118" s="228" t="inlineStr">
        <is>
          <t>Authorized snapshot fixtures for relevant, empty, stale and wrong-repo retrieval; retain query and source metadata.</t>
        </is>
      </c>
    </row>
    <row r="119" spans="2:3" ht="45" customHeight="1" ns3:dyDescent="0.3">
      <c r="B119" s="227" t="inlineStr">
        <is>
          <t>Traceability / review</t>
        </is>
      </c>
      <c r="C119" s="227" t="inlineStr">
        <is>
          <t>Traceability / review</t>
        </is>
      </c>
      <c r="D119" s="228" t="inlineStr">
        <is>
          <t>PB20. Reviewer proposed: pending. Allocation: Pham Phan Hoang Huy 12h.</t>
        </is>
      </c>
      <c r="E119" s="228" t="inlineStr">
        <is>
          <t>PB20. Reviewer proposed: pending. Allocation: Pham Phan Hoang Huy 12h.</t>
        </is>
      </c>
      <c r="F119" s="228" t="inlineStr">
        <is>
          <t>PB20. Reviewer proposed: pending. Allocation: Pham Phan Hoang Huy 12h.</t>
        </is>
      </c>
      <c r="G119" s="228" t="inlineStr">
        <is>
          <t>PB20. Reviewer proposed: pending. Allocation: Pham Phan Hoang Huy 12h.</t>
        </is>
      </c>
      <c r="H119" s="228" t="inlineStr">
        <is>
          <t>PB20. Reviewer proposed: pending. Allocation: Pham Phan Hoang Huy 12h.</t>
        </is>
      </c>
      <c r="I119" s="228" t="inlineStr">
        <is>
          <t>PB20. Reviewer proposed: pending. Allocation: Pham Phan Hoang Huy 12h.</t>
        </is>
      </c>
      <c r="J119" s="228" t="inlineStr">
        <is>
          <t>PB20. Reviewer proposed: pending. Allocation: Pham Phan Hoang Huy 12h.</t>
        </is>
      </c>
      <c r="K119" s="228" t="inlineStr">
        <is>
          <t>PB20. Reviewer proposed: pending. Allocation: Pham Phan Hoang Huy 12h.</t>
        </is>
      </c>
    </row>
    <row r="120" spans="2:3" ht="13.5" customHeight="1" ns3:dyDescent="0.3">
      <c r="B120" s="7"/>
      <c r="C120" s="8"/>
    </row>
    <row r="121" spans="2:3" ht="27" customHeight="1" ns3:dyDescent="0.3">
      <c r="B121" s="225" t="inlineStr">
        <is>
          <t>2.12  Deterministic deduplicated and validated context list</t>
        </is>
      </c>
      <c r="C121" s="225" t="inlineStr">
        <is>
          <t>2.12  Deterministic deduplicated and validated context list</t>
        </is>
      </c>
      <c r="D121" s="226" t="inlineStr">
        <is>
          <t>2.12  Deterministic deduplicated and validated context list</t>
        </is>
      </c>
      <c r="E121" s="226" t="inlineStr">
        <is>
          <t>2.12  Deterministic deduplicated and validated context list</t>
        </is>
      </c>
      <c r="F121" s="226" t="inlineStr">
        <is>
          <t>2.12  Deterministic deduplicated and validated context list</t>
        </is>
      </c>
      <c r="G121" s="226" t="inlineStr">
        <is>
          <t>2.12  Deterministic deduplicated and validated context list</t>
        </is>
      </c>
      <c r="H121" s="226" t="inlineStr">
        <is>
          <t>2.12  Deterministic deduplicated and validated context list</t>
        </is>
      </c>
      <c r="I121" s="226" t="inlineStr">
        <is>
          <t>2.12  Deterministic deduplicated and validated context list</t>
        </is>
      </c>
      <c r="J121" s="226" t="inlineStr">
        <is>
          <t>2.12  Deterministic deduplicated and validated context list</t>
        </is>
      </c>
      <c r="K121" s="226" t="inlineStr">
        <is>
          <t>2.12  Deterministic deduplicated and validated context list</t>
        </is>
      </c>
    </row>
    <row r="122" spans="2:3" ht="32" customHeight="1" ns3:dyDescent="0.3">
      <c r="B122" s="227" t="inlineStr">
        <is>
          <t>Dependencies</t>
        </is>
      </c>
      <c r="C122" s="227" t="inlineStr">
        <is>
          <t>Dependencies</t>
        </is>
      </c>
      <c r="D122" s="228" t="inlineStr">
        <is>
          <t>2.11; 2.14</t>
        </is>
      </c>
      <c r="E122" s="228" t="inlineStr">
        <is>
          <t>2.11; 2.14</t>
        </is>
      </c>
      <c r="F122" s="228" t="inlineStr">
        <is>
          <t>2.11; 2.14</t>
        </is>
      </c>
      <c r="G122" s="228" t="inlineStr">
        <is>
          <t>2.11; 2.14</t>
        </is>
      </c>
      <c r="H122" s="228" t="inlineStr">
        <is>
          <t>2.11; 2.14</t>
        </is>
      </c>
      <c r="I122" s="228" t="inlineStr">
        <is>
          <t>2.11; 2.14</t>
        </is>
      </c>
      <c r="J122" s="228" t="inlineStr">
        <is>
          <t>2.11; 2.14</t>
        </is>
      </c>
      <c r="K122" s="228" t="inlineStr">
        <is>
          <t>2.11; 2.14</t>
        </is>
      </c>
    </row>
    <row r="123" spans="2:3" ht="62" customHeight="1" ns3:dyDescent="0.3">
      <c r="B123" s="227" t="inlineStr">
        <is>
          <t>Acceptance criteria</t>
        </is>
      </c>
      <c r="C123" s="227" t="inlineStr">
        <is>
          <t>Acceptance criteria</t>
        </is>
      </c>
      <c r="D123" s="228" t="inlineStr">
        <is>
          <t>Document ranking/tie-breaking, deduplicate without losing provenance, and validate repo/commit/path/range/hash. Reject invalid references or expose partial results. Ranking scores are not measured accuracy or calibrated confidence.</t>
        </is>
      </c>
      <c r="E123" s="228" t="inlineStr">
        <is>
          <t>Document ranking/tie-breaking, deduplicate without losing provenance, and validate repo/commit/path/range/hash. Reject invalid references or expose partial results. Ranking scores are not measured accuracy or calibrated confidence.</t>
        </is>
      </c>
      <c r="F123" s="228" t="inlineStr">
        <is>
          <t>Document ranking/tie-breaking, deduplicate without losing provenance, and validate repo/commit/path/range/hash. Reject invalid references or expose partial results. Ranking scores are not measured accuracy or calibrated confidence.</t>
        </is>
      </c>
      <c r="G123" s="228" t="inlineStr">
        <is>
          <t>Document ranking/tie-breaking, deduplicate without losing provenance, and validate repo/commit/path/range/hash. Reject invalid references or expose partial results. Ranking scores are not measured accuracy or calibrated confidence.</t>
        </is>
      </c>
      <c r="H123" s="228" t="inlineStr">
        <is>
          <t>Document ranking/tie-breaking, deduplicate without losing provenance, and validate repo/commit/path/range/hash. Reject invalid references or expose partial results. Ranking scores are not measured accuracy or calibrated confidence.</t>
        </is>
      </c>
      <c r="I123" s="228" t="inlineStr">
        <is>
          <t>Document ranking/tie-breaking, deduplicate without losing provenance, and validate repo/commit/path/range/hash. Reject invalid references or expose partial results. Ranking scores are not measured accuracy or calibrated confidence.</t>
        </is>
      </c>
      <c r="J123" s="228" t="inlineStr">
        <is>
          <t>Document ranking/tie-breaking, deduplicate without losing provenance, and validate repo/commit/path/range/hash. Reject invalid references or expose partial results. Ranking scores are not measured accuracy or calibrated confidence.</t>
        </is>
      </c>
      <c r="K123" s="228" t="inlineStr">
        <is>
          <t>Document ranking/tie-breaking, deduplicate without losing provenance, and validate repo/commit/path/range/hash. Reject invalid references or expose partial results. Ranking scores are not measured accuracy or calibrated confidence.</t>
        </is>
      </c>
    </row>
    <row r="124" spans="2:3" ht="48" customHeight="1" ns3:dyDescent="0.3">
      <c r="B124" s="227" t="inlineStr">
        <is>
          <t>Verification planned</t>
        </is>
      </c>
      <c r="C124" s="227" t="inlineStr">
        <is>
          <t>Verification planned</t>
        </is>
      </c>
      <c r="D124" s="228" t="inlineStr">
        <is>
          <t>Expected rank/dedup cases; mismatched hash/span/revision and partial metadata cases.</t>
        </is>
      </c>
      <c r="E124" s="228" t="inlineStr">
        <is>
          <t>Expected rank/dedup cases; mismatched hash/span/revision and partial metadata cases.</t>
        </is>
      </c>
      <c r="F124" s="228" t="inlineStr">
        <is>
          <t>Expected rank/dedup cases; mismatched hash/span/revision and partial metadata cases.</t>
        </is>
      </c>
      <c r="G124" s="228" t="inlineStr">
        <is>
          <t>Expected rank/dedup cases; mismatched hash/span/revision and partial metadata cases.</t>
        </is>
      </c>
      <c r="H124" s="228" t="inlineStr">
        <is>
          <t>Expected rank/dedup cases; mismatched hash/span/revision and partial metadata cases.</t>
        </is>
      </c>
      <c r="I124" s="228" t="inlineStr">
        <is>
          <t>Expected rank/dedup cases; mismatched hash/span/revision and partial metadata cases.</t>
        </is>
      </c>
      <c r="J124" s="228" t="inlineStr">
        <is>
          <t>Expected rank/dedup cases; mismatched hash/span/revision and partial metadata cases.</t>
        </is>
      </c>
      <c r="K124" s="228" t="inlineStr">
        <is>
          <t>Expected rank/dedup cases; mismatched hash/span/revision and partial metadata cases.</t>
        </is>
      </c>
    </row>
    <row r="125" spans="2:3" ht="45" customHeight="1" ns3:dyDescent="0.3">
      <c r="B125" s="227" t="inlineStr">
        <is>
          <t>Traceability / review</t>
        </is>
      </c>
      <c r="C125" s="227" t="inlineStr">
        <is>
          <t>Traceability / review</t>
        </is>
      </c>
      <c r="D125" s="228" t="inlineStr">
        <is>
          <t>PB20. Reviewer proposed: pending. Allocation: Dang Dai Viet 8h.</t>
        </is>
      </c>
      <c r="E125" s="228" t="inlineStr">
        <is>
          <t>PB20. Reviewer proposed: pending. Allocation: Dang Dai Viet 8h.</t>
        </is>
      </c>
      <c r="F125" s="228" t="inlineStr">
        <is>
          <t>PB20. Reviewer proposed: pending. Allocation: Dang Dai Viet 8h.</t>
        </is>
      </c>
      <c r="G125" s="228" t="inlineStr">
        <is>
          <t>PB20. Reviewer proposed: pending. Allocation: Dang Dai Viet 8h.</t>
        </is>
      </c>
      <c r="H125" s="228" t="inlineStr">
        <is>
          <t>PB20. Reviewer proposed: pending. Allocation: Dang Dai Viet 8h.</t>
        </is>
      </c>
      <c r="I125" s="228" t="inlineStr">
        <is>
          <t>PB20. Reviewer proposed: pending. Allocation: Dang Dai Viet 8h.</t>
        </is>
      </c>
      <c r="J125" s="228" t="inlineStr">
        <is>
          <t>PB20. Reviewer proposed: pending. Allocation: Dang Dai Viet 8h.</t>
        </is>
      </c>
      <c r="K125" s="228" t="inlineStr">
        <is>
          <t>PB20. Reviewer proposed: pending. Allocation: Dang Dai Viet 8h.</t>
        </is>
      </c>
    </row>
    <row r="126" spans="2:3" ht="13.5" customHeight="1" ns3:dyDescent="0.3">
      <c r="B126" s="7"/>
      <c r="C126" s="8"/>
    </row>
    <row r="127" spans="2:3" ht="27" customHeight="1" ns3:dyDescent="0.3">
      <c r="B127" s="225" t="inlineStr">
        <is>
          <t>2.13  Shared application workflow, CLI entrypoint and reproducible demo</t>
        </is>
      </c>
      <c r="C127" s="225" t="inlineStr">
        <is>
          <t>2.13  Shared application workflow, CLI entrypoint and reproducible demo</t>
        </is>
      </c>
      <c r="D127" s="226" t="inlineStr">
        <is>
          <t>2.13  Shared application workflow, CLI entrypoint and reproducible demo</t>
        </is>
      </c>
      <c r="E127" s="226" t="inlineStr">
        <is>
          <t>2.13  Shared application workflow, CLI entrypoint and reproducible demo</t>
        </is>
      </c>
      <c r="F127" s="226" t="inlineStr">
        <is>
          <t>2.13  Shared application workflow, CLI entrypoint and reproducible demo</t>
        </is>
      </c>
      <c r="G127" s="226" t="inlineStr">
        <is>
          <t>2.13  Shared application workflow, CLI entrypoint and reproducible demo</t>
        </is>
      </c>
      <c r="H127" s="226" t="inlineStr">
        <is>
          <t>2.13  Shared application workflow, CLI entrypoint and reproducible demo</t>
        </is>
      </c>
      <c r="I127" s="226" t="inlineStr">
        <is>
          <t>2.13  Shared application workflow, CLI entrypoint and reproducible demo</t>
        </is>
      </c>
      <c r="J127" s="226" t="inlineStr">
        <is>
          <t>2.13  Shared application workflow, CLI entrypoint and reproducible demo</t>
        </is>
      </c>
      <c r="K127" s="226" t="inlineStr">
        <is>
          <t>2.13  Shared application workflow, CLI entrypoint and reproducible demo</t>
        </is>
      </c>
    </row>
    <row r="128" spans="2:3" ht="32" customHeight="1" ns3:dyDescent="0.3">
      <c r="B128" s="227" t="inlineStr">
        <is>
          <t>Dependencies</t>
        </is>
      </c>
      <c r="C128" s="227" t="inlineStr">
        <is>
          <t>Dependencies</t>
        </is>
      </c>
      <c r="D128" s="228" t="inlineStr">
        <is>
          <t>2.14 first; integrate stage outputs as available</t>
        </is>
      </c>
      <c r="E128" s="228" t="inlineStr">
        <is>
          <t>2.14 first; integrate stage outputs as available</t>
        </is>
      </c>
      <c r="F128" s="228" t="inlineStr">
        <is>
          <t>2.14 first; integrate stage outputs as available</t>
        </is>
      </c>
      <c r="G128" s="228" t="inlineStr">
        <is>
          <t>2.14 first; integrate stage outputs as available</t>
        </is>
      </c>
      <c r="H128" s="228" t="inlineStr">
        <is>
          <t>2.14 first; integrate stage outputs as available</t>
        </is>
      </c>
      <c r="I128" s="228" t="inlineStr">
        <is>
          <t>2.14 first; integrate stage outputs as available</t>
        </is>
      </c>
      <c r="J128" s="228" t="inlineStr">
        <is>
          <t>2.14 first; integrate stage outputs as available</t>
        </is>
      </c>
      <c r="K128" s="228" t="inlineStr">
        <is>
          <t>2.14 first; integrate stage outputs as available</t>
        </is>
      </c>
    </row>
    <row r="129" spans="2:3" ht="62" customHeight="1" ns3:dyDescent="0.3">
      <c r="B129" s="227" t="inlineStr">
        <is>
          <t>Acceptance criteria</t>
        </is>
      </c>
      <c r="C129" s="227" t="inlineStr">
        <is>
          <t>Acceptance criteria</t>
        </is>
      </c>
      <c r="D129" s="228" t="inlineStr">
        <is>
          <t>Start a thin flow in week 1, integrate stages incrementally, emit honest stage statuses and revision-bound reports. CLI calls application logic; no fabricated selection/execution fields. Own wiring/smoke/demo; 2.19 owns cross-module regression cases.</t>
        </is>
      </c>
      <c r="E129" s="228" t="inlineStr">
        <is>
          <t>Start a thin flow in week 1, integrate stages incrementally, emit honest stage statuses and revision-bound reports. CLI calls application logic; no fabricated selection/execution fields. Own wiring/smoke/demo; 2.19 owns cross-module regression cases.</t>
        </is>
      </c>
      <c r="F129" s="228" t="inlineStr">
        <is>
          <t>Start a thin flow in week 1, integrate stages incrementally, emit honest stage statuses and revision-bound reports. CLI calls application logic; no fabricated selection/execution fields. Own wiring/smoke/demo; 2.19 owns cross-module regression cases.</t>
        </is>
      </c>
      <c r="G129" s="228" t="inlineStr">
        <is>
          <t>Start a thin flow in week 1, integrate stages incrementally, emit honest stage statuses and revision-bound reports. CLI calls application logic; no fabricated selection/execution fields. Own wiring/smoke/demo; 2.19 owns cross-module regression cases.</t>
        </is>
      </c>
      <c r="H129" s="228" t="inlineStr">
        <is>
          <t>Start a thin flow in week 1, integrate stages incrementally, emit honest stage statuses and revision-bound reports. CLI calls application logic; no fabricated selection/execution fields. Own wiring/smoke/demo; 2.19 owns cross-module regression cases.</t>
        </is>
      </c>
      <c r="I129" s="228" t="inlineStr">
        <is>
          <t>Start a thin flow in week 1, integrate stages incrementally, emit honest stage statuses and revision-bound reports. CLI calls application logic; no fabricated selection/execution fields. Own wiring/smoke/demo; 2.19 owns cross-module regression cases.</t>
        </is>
      </c>
      <c r="J129" s="228" t="inlineStr">
        <is>
          <t>Start a thin flow in week 1, integrate stages incrementally, emit honest stage statuses and revision-bound reports. CLI calls application logic; no fabricated selection/execution fields. Own wiring/smoke/demo; 2.19 owns cross-module regression cases.</t>
        </is>
      </c>
      <c r="K129" s="228" t="inlineStr">
        <is>
          <t>Start a thin flow in week 1, integrate stages incrementally, emit honest stage statuses and revision-bound reports. CLI calls application logic; no fabricated selection/execution fields. Own wiring/smoke/demo; 2.19 owns cross-module regression cases.</t>
        </is>
      </c>
    </row>
    <row r="130" spans="2:3" ht="48" customHeight="1" ns3:dyDescent="0.3">
      <c r="B130" s="227" t="inlineStr">
        <is>
          <t>Verification planned</t>
        </is>
      </c>
      <c r="C130" s="227" t="inlineStr">
        <is>
          <t>Verification planned</t>
        </is>
      </c>
      <c r="D130" s="228" t="inlineStr">
        <is>
          <t>Reproduction instructions, CLI smoke artifacts and demo report on authorized fixture/candidate. Human acceptance remains pending until evidenced.</t>
        </is>
      </c>
      <c r="E130" s="228" t="inlineStr">
        <is>
          <t>Reproduction instructions, CLI smoke artifacts and demo report on authorized fixture/candidate. Human acceptance remains pending until evidenced.</t>
        </is>
      </c>
      <c r="F130" s="228" t="inlineStr">
        <is>
          <t>Reproduction instructions, CLI smoke artifacts and demo report on authorized fixture/candidate. Human acceptance remains pending until evidenced.</t>
        </is>
      </c>
      <c r="G130" s="228" t="inlineStr">
        <is>
          <t>Reproduction instructions, CLI smoke artifacts and demo report on authorized fixture/candidate. Human acceptance remains pending until evidenced.</t>
        </is>
      </c>
      <c r="H130" s="228" t="inlineStr">
        <is>
          <t>Reproduction instructions, CLI smoke artifacts and demo report on authorized fixture/candidate. Human acceptance remains pending until evidenced.</t>
        </is>
      </c>
      <c r="I130" s="228" t="inlineStr">
        <is>
          <t>Reproduction instructions, CLI smoke artifacts and demo report on authorized fixture/candidate. Human acceptance remains pending until evidenced.</t>
        </is>
      </c>
      <c r="J130" s="228" t="inlineStr">
        <is>
          <t>Reproduction instructions, CLI smoke artifacts and demo report on authorized fixture/candidate. Human acceptance remains pending until evidenced.</t>
        </is>
      </c>
      <c r="K130" s="228" t="inlineStr">
        <is>
          <t>Reproduction instructions, CLI smoke artifacts and demo report on authorized fixture/candidate. Human acceptance remains pending until evidenced.</t>
        </is>
      </c>
    </row>
    <row r="131" spans="2:3" ht="45" customHeight="1" ns3:dyDescent="0.3">
      <c r="B131" s="227" t="inlineStr">
        <is>
          <t>Traceability / review</t>
        </is>
      </c>
      <c r="C131" s="227" t="inlineStr">
        <is>
          <t>Traceability / review</t>
        </is>
      </c>
      <c r="D131" s="228" t="inlineStr">
        <is>
          <t>PB04. Reviewer proposed: pending. Allocation: Nguyen Tan Huy 12h.</t>
        </is>
      </c>
      <c r="E131" s="228" t="inlineStr">
        <is>
          <t>PB04. Reviewer proposed: pending. Allocation: Nguyen Tan Huy 12h.</t>
        </is>
      </c>
      <c r="F131" s="228" t="inlineStr">
        <is>
          <t>PB04. Reviewer proposed: pending. Allocation: Nguyen Tan Huy 12h.</t>
        </is>
      </c>
      <c r="G131" s="228" t="inlineStr">
        <is>
          <t>PB04. Reviewer proposed: pending. Allocation: Nguyen Tan Huy 12h.</t>
        </is>
      </c>
      <c r="H131" s="228" t="inlineStr">
        <is>
          <t>PB04. Reviewer proposed: pending. Allocation: Nguyen Tan Huy 12h.</t>
        </is>
      </c>
      <c r="I131" s="228" t="inlineStr">
        <is>
          <t>PB04. Reviewer proposed: pending. Allocation: Nguyen Tan Huy 12h.</t>
        </is>
      </c>
      <c r="J131" s="228" t="inlineStr">
        <is>
          <t>PB04. Reviewer proposed: pending. Allocation: Nguyen Tan Huy 12h.</t>
        </is>
      </c>
      <c r="K131" s="228" t="inlineStr">
        <is>
          <t>PB04. Reviewer proposed: pending. Allocation: Nguyen Tan Huy 12h.</t>
        </is>
      </c>
    </row>
    <row r="132" spans="2:3" ht="13.5" customHeight="1" ns3:dyDescent="0.3">
      <c r="B132" s="7"/>
      <c r="C132" s="8"/>
    </row>
    <row r="133" spans="2:3" ht="27" customHeight="1" ns3:dyDescent="0.3">
      <c r="B133" s="225" t="inlineStr">
        <is>
          <t>2.14  Reviewed producer/consumer stage contracts</t>
        </is>
      </c>
      <c r="C133" s="225" t="inlineStr">
        <is>
          <t>2.14  Reviewed producer/consumer stage contracts</t>
        </is>
      </c>
      <c r="D133" s="226" t="inlineStr">
        <is>
          <t>2.14  Reviewed producer/consumer stage contracts</t>
        </is>
      </c>
      <c r="E133" s="226" t="inlineStr">
        <is>
          <t>2.14  Reviewed producer/consumer stage contracts</t>
        </is>
      </c>
      <c r="F133" s="226" t="inlineStr">
        <is>
          <t>2.14  Reviewed producer/consumer stage contracts</t>
        </is>
      </c>
      <c r="G133" s="226" t="inlineStr">
        <is>
          <t>2.14  Reviewed producer/consumer stage contracts</t>
        </is>
      </c>
      <c r="H133" s="226" t="inlineStr">
        <is>
          <t>2.14  Reviewed producer/consumer stage contracts</t>
        </is>
      </c>
      <c r="I133" s="226" t="inlineStr">
        <is>
          <t>2.14  Reviewed producer/consumer stage contracts</t>
        </is>
      </c>
      <c r="J133" s="226" t="inlineStr">
        <is>
          <t>2.14  Reviewed producer/consumer stage contracts</t>
        </is>
      </c>
      <c r="K133" s="226" t="inlineStr">
        <is>
          <t>2.14  Reviewed producer/consumer stage contracts</t>
        </is>
      </c>
    </row>
    <row r="134" spans="2:3" ht="32" customHeight="1" ns3:dyDescent="0.3">
      <c r="B134" s="227" t="inlineStr">
        <is>
          <t>Dependencies</t>
        </is>
      </c>
      <c r="C134" s="227" t="inlineStr">
        <is>
          <t>Dependencies</t>
        </is>
      </c>
      <c r="D134" s="228" t="inlineStr">
        <is>
          <t>Existing contracts and Sprint 1 decisions; no task prerequisite</t>
        </is>
      </c>
      <c r="E134" s="228" t="inlineStr">
        <is>
          <t>Existing contracts and Sprint 1 decisions; no task prerequisite</t>
        </is>
      </c>
      <c r="F134" s="228" t="inlineStr">
        <is>
          <t>Existing contracts and Sprint 1 decisions; no task prerequisite</t>
        </is>
      </c>
      <c r="G134" s="228" t="inlineStr">
        <is>
          <t>Existing contracts and Sprint 1 decisions; no task prerequisite</t>
        </is>
      </c>
      <c r="H134" s="228" t="inlineStr">
        <is>
          <t>Existing contracts and Sprint 1 decisions; no task prerequisite</t>
        </is>
      </c>
      <c r="I134" s="228" t="inlineStr">
        <is>
          <t>Existing contracts and Sprint 1 decisions; no task prerequisite</t>
        </is>
      </c>
      <c r="J134" s="228" t="inlineStr">
        <is>
          <t>Existing contracts and Sprint 1 decisions; no task prerequisite</t>
        </is>
      </c>
      <c r="K134" s="228" t="inlineStr">
        <is>
          <t>Existing contracts and Sprint 1 decisions; no task prerequisite</t>
        </is>
      </c>
    </row>
    <row r="135" spans="2:3" ht="62" customHeight="1" ns3:dyDescent="0.3">
      <c r="B135" s="227" t="inlineStr">
        <is>
          <t>Acceptance criteria</t>
        </is>
      </c>
      <c r="C135" s="227" t="inlineStr">
        <is>
          <t>Acceptance criteria</t>
        </is>
      </c>
      <c r="D135" s="228" t="inlineStr">
        <is>
          <t>Define repo/run/base-target identity, changed/impact/evidence, inventory/retrieval statuses and limitations. Stage reports work without fake selected/skipped decisions. Review compatibility and persistence interface before implementation.</t>
        </is>
      </c>
      <c r="E135" s="228" t="inlineStr">
        <is>
          <t>Define repo/run/base-target identity, changed/impact/evidence, inventory/retrieval statuses and limitations. Stage reports work without fake selected/skipped decisions. Review compatibility and persistence interface before implementation.</t>
        </is>
      </c>
      <c r="F135" s="228" t="inlineStr">
        <is>
          <t>Define repo/run/base-target identity, changed/impact/evidence, inventory/retrieval statuses and limitations. Stage reports work without fake selected/skipped decisions. Review compatibility and persistence interface before implementation.</t>
        </is>
      </c>
      <c r="G135" s="228" t="inlineStr">
        <is>
          <t>Define repo/run/base-target identity, changed/impact/evidence, inventory/retrieval statuses and limitations. Stage reports work without fake selected/skipped decisions. Review compatibility and persistence interface before implementation.</t>
        </is>
      </c>
      <c r="H135" s="228" t="inlineStr">
        <is>
          <t>Define repo/run/base-target identity, changed/impact/evidence, inventory/retrieval statuses and limitations. Stage reports work without fake selected/skipped decisions. Review compatibility and persistence interface before implementation.</t>
        </is>
      </c>
      <c r="I135" s="228" t="inlineStr">
        <is>
          <t>Define repo/run/base-target identity, changed/impact/evidence, inventory/retrieval statuses and limitations. Stage reports work without fake selected/skipped decisions. Review compatibility and persistence interface before implementation.</t>
        </is>
      </c>
      <c r="J135" s="228" t="inlineStr">
        <is>
          <t>Define repo/run/base-target identity, changed/impact/evidence, inventory/retrieval statuses and limitations. Stage reports work without fake selected/skipped decisions. Review compatibility and persistence interface before implementation.</t>
        </is>
      </c>
      <c r="K135" s="228" t="inlineStr">
        <is>
          <t>Define repo/run/base-target identity, changed/impact/evidence, inventory/retrieval statuses and limitations. Stage reports work without fake selected/skipped decisions. Review compatibility and persistence interface before implementation.</t>
        </is>
      </c>
    </row>
    <row r="136" spans="2:3" ht="48" customHeight="1" ns3:dyDescent="0.3">
      <c r="B136" s="227" t="inlineStr">
        <is>
          <t>Verification planned</t>
        </is>
      </c>
      <c r="C136" s="227" t="inlineStr">
        <is>
          <t>Verification planned</t>
        </is>
      </c>
      <c r="D136" s="228" t="inlineStr">
        <is>
          <t>Contract examples, consumer checks and review record; current AnalysisReport requires selection, so reconcile stage reporting explicitly.</t>
        </is>
      </c>
      <c r="E136" s="228" t="inlineStr">
        <is>
          <t>Contract examples, consumer checks and review record; current AnalysisReport requires selection, so reconcile stage reporting explicitly.</t>
        </is>
      </c>
      <c r="F136" s="228" t="inlineStr">
        <is>
          <t>Contract examples, consumer checks and review record; current AnalysisReport requires selection, so reconcile stage reporting explicitly.</t>
        </is>
      </c>
      <c r="G136" s="228" t="inlineStr">
        <is>
          <t>Contract examples, consumer checks and review record; current AnalysisReport requires selection, so reconcile stage reporting explicitly.</t>
        </is>
      </c>
      <c r="H136" s="228" t="inlineStr">
        <is>
          <t>Contract examples, consumer checks and review record; current AnalysisReport requires selection, so reconcile stage reporting explicitly.</t>
        </is>
      </c>
      <c r="I136" s="228" t="inlineStr">
        <is>
          <t>Contract examples, consumer checks and review record; current AnalysisReport requires selection, so reconcile stage reporting explicitly.</t>
        </is>
      </c>
      <c r="J136" s="228" t="inlineStr">
        <is>
          <t>Contract examples, consumer checks and review record; current AnalysisReport requires selection, so reconcile stage reporting explicitly.</t>
        </is>
      </c>
      <c r="K136" s="228" t="inlineStr">
        <is>
          <t>Contract examples, consumer checks and review record; current AnalysisReport requires selection, so reconcile stage reporting explicitly.</t>
        </is>
      </c>
    </row>
    <row r="137" spans="2:3" ht="45" customHeight="1" ns3:dyDescent="0.3">
      <c r="B137" s="227" t="inlineStr">
        <is>
          <t>Traceability / review</t>
        </is>
      </c>
      <c r="C137" s="227" t="inlineStr">
        <is>
          <t>Traceability / review</t>
        </is>
      </c>
      <c r="D137" s="228" t="inlineStr">
        <is>
          <t>PB04/PB05-09/PB19/PB20. Reviewer proposed: Do Ha An, Dang Dai Viet. Allocation: Nguyen Tan Huy 12h.</t>
        </is>
      </c>
      <c r="E137" s="228" t="inlineStr">
        <is>
          <t>PB04/PB05-09/PB19/PB20. Reviewer proposed: Do Ha An, Dang Dai Viet. Allocation: Nguyen Tan Huy 12h.</t>
        </is>
      </c>
      <c r="F137" s="228" t="inlineStr">
        <is>
          <t>PB04/PB05-09/PB19/PB20. Reviewer proposed: Do Ha An, Dang Dai Viet. Allocation: Nguyen Tan Huy 12h.</t>
        </is>
      </c>
      <c r="G137" s="228" t="inlineStr">
        <is>
          <t>PB04/PB05-09/PB19/PB20. Reviewer proposed: Do Ha An, Dang Dai Viet. Allocation: Nguyen Tan Huy 12h.</t>
        </is>
      </c>
      <c r="H137" s="228" t="inlineStr">
        <is>
          <t>PB04/PB05-09/PB19/PB20. Reviewer proposed: Do Ha An, Dang Dai Viet. Allocation: Nguyen Tan Huy 12h.</t>
        </is>
      </c>
      <c r="I137" s="228" t="inlineStr">
        <is>
          <t>PB04/PB05-09/PB19/PB20. Reviewer proposed: Do Ha An, Dang Dai Viet. Allocation: Nguyen Tan Huy 12h.</t>
        </is>
      </c>
      <c r="J137" s="228" t="inlineStr">
        <is>
          <t>PB04/PB05-09/PB19/PB20. Reviewer proposed: Do Ha An, Dang Dai Viet. Allocation: Nguyen Tan Huy 12h.</t>
        </is>
      </c>
      <c r="K137" s="228" t="inlineStr">
        <is>
          <t>PB04/PB05-09/PB19/PB20. Reviewer proposed: Do Ha An, Dang Dai Viet. Allocation: Nguyen Tan Huy 12h.</t>
        </is>
      </c>
    </row>
    <row r="138" spans="2:3" ht="13.5" customHeight="1" ns3:dyDescent="0.3">
      <c r="B138" s="7"/>
      <c r="C138" s="8"/>
    </row>
    <row r="139" spans="2:3" ht="27" customHeight="1" ns3:dyDescent="0.3">
      <c r="B139" s="225" t="inlineStr">
        <is>
          <t>2.15  Validated base/target materialization and identity manifest</t>
        </is>
      </c>
      <c r="C139" s="225" t="inlineStr">
        <is>
          <t>2.15  Validated base/target materialization and identity manifest</t>
        </is>
      </c>
      <c r="D139" s="226" t="inlineStr">
        <is>
          <t>2.15  Validated base/target materialization and identity manifest</t>
        </is>
      </c>
      <c r="E139" s="226" t="inlineStr">
        <is>
          <t>2.15  Validated base/target materialization and identity manifest</t>
        </is>
      </c>
      <c r="F139" s="226" t="inlineStr">
        <is>
          <t>2.15  Validated base/target materialization and identity manifest</t>
        </is>
      </c>
      <c r="G139" s="226" t="inlineStr">
        <is>
          <t>2.15  Validated base/target materialization and identity manifest</t>
        </is>
      </c>
      <c r="H139" s="226" t="inlineStr">
        <is>
          <t>2.15  Validated base/target materialization and identity manifest</t>
        </is>
      </c>
      <c r="I139" s="226" t="inlineStr">
        <is>
          <t>2.15  Validated base/target materialization and identity manifest</t>
        </is>
      </c>
      <c r="J139" s="226" t="inlineStr">
        <is>
          <t>2.15  Validated base/target materialization and identity manifest</t>
        </is>
      </c>
      <c r="K139" s="226" t="inlineStr">
        <is>
          <t>2.15  Validated base/target materialization and identity manifest</t>
        </is>
      </c>
    </row>
    <row r="140" spans="2:3" ht="32" customHeight="1" ns3:dyDescent="0.3">
      <c r="B140" s="227" t="inlineStr">
        <is>
          <t>Dependencies</t>
        </is>
      </c>
      <c r="C140" s="227" t="inlineStr">
        <is>
          <t>Dependencies</t>
        </is>
      </c>
      <c r="D140" s="228" t="inlineStr">
        <is>
          <t>2.14 identity contract; accepted revision decisions</t>
        </is>
      </c>
      <c r="E140" s="228" t="inlineStr">
        <is>
          <t>2.14 identity contract; accepted revision decisions</t>
        </is>
      </c>
      <c r="F140" s="228" t="inlineStr">
        <is>
          <t>2.14 identity contract; accepted revision decisions</t>
        </is>
      </c>
      <c r="G140" s="228" t="inlineStr">
        <is>
          <t>2.14 identity contract; accepted revision decisions</t>
        </is>
      </c>
      <c r="H140" s="228" t="inlineStr">
        <is>
          <t>2.14 identity contract; accepted revision decisions</t>
        </is>
      </c>
      <c r="I140" s="228" t="inlineStr">
        <is>
          <t>2.14 identity contract; accepted revision decisions</t>
        </is>
      </c>
      <c r="J140" s="228" t="inlineStr">
        <is>
          <t>2.14 identity contract; accepted revision decisions</t>
        </is>
      </c>
      <c r="K140" s="228" t="inlineStr">
        <is>
          <t>2.14 identity contract; accepted revision decisions</t>
        </is>
      </c>
    </row>
    <row r="141" spans="2:3" ht="62" customHeight="1" ns3:dyDescent="0.3">
      <c r="B141" s="227" t="inlineStr">
        <is>
          <t>Acceptance criteria</t>
        </is>
      </c>
      <c r="C141" s="227" t="inlineStr">
        <is>
          <t>Acceptance criteria</t>
        </is>
      </c>
      <c r="D141" s="228" t="inlineStr">
        <is>
          <t>Validate authorized repository, full SHA and commit object; materialize immutable source without dirty-tree input. Reject invalid identity/SHA, traversal and unsupported entries. Keep arbitrary-repository ingestion outside this slice.</t>
        </is>
      </c>
      <c r="E141" s="228" t="inlineStr">
        <is>
          <t>Validate authorized repository, full SHA and commit object; materialize immutable source without dirty-tree input. Reject invalid identity/SHA, traversal and unsupported entries. Keep arbitrary-repository ingestion outside this slice.</t>
        </is>
      </c>
      <c r="F141" s="228" t="inlineStr">
        <is>
          <t>Validate authorized repository, full SHA and commit object; materialize immutable source without dirty-tree input. Reject invalid identity/SHA, traversal and unsupported entries. Keep arbitrary-repository ingestion outside this slice.</t>
        </is>
      </c>
      <c r="G141" s="228" t="inlineStr">
        <is>
          <t>Validate authorized repository, full SHA and commit object; materialize immutable source without dirty-tree input. Reject invalid identity/SHA, traversal and unsupported entries. Keep arbitrary-repository ingestion outside this slice.</t>
        </is>
      </c>
      <c r="H141" s="228" t="inlineStr">
        <is>
          <t>Validate authorized repository, full SHA and commit object; materialize immutable source without dirty-tree input. Reject invalid identity/SHA, traversal and unsupported entries. Keep arbitrary-repository ingestion outside this slice.</t>
        </is>
      </c>
      <c r="I141" s="228" t="inlineStr">
        <is>
          <t>Validate authorized repository, full SHA and commit object; materialize immutable source without dirty-tree input. Reject invalid identity/SHA, traversal and unsupported entries. Keep arbitrary-repository ingestion outside this slice.</t>
        </is>
      </c>
      <c r="J141" s="228" t="inlineStr">
        <is>
          <t>Validate authorized repository, full SHA and commit object; materialize immutable source without dirty-tree input. Reject invalid identity/SHA, traversal and unsupported entries. Keep arbitrary-repository ingestion outside this slice.</t>
        </is>
      </c>
      <c r="K141" s="228" t="inlineStr">
        <is>
          <t>Validate authorized repository, full SHA and commit object; materialize immutable source without dirty-tree input. Reject invalid identity/SHA, traversal and unsupported entries. Keep arbitrary-repository ingestion outside this slice.</t>
        </is>
      </c>
    </row>
    <row r="142" spans="2:3" ht="48" customHeight="1" ns3:dyDescent="0.3">
      <c r="B142" s="227" t="inlineStr">
        <is>
          <t>Verification planned</t>
        </is>
      </c>
      <c r="C142" s="227" t="inlineStr">
        <is>
          <t>Verification planned</t>
        </is>
      </c>
      <c r="D142" s="228" t="inlineStr">
        <is>
          <t>Immutable Git fixtures, wrong SHA/object/path and unsupported-entry guards; source byte identity evidence.</t>
        </is>
      </c>
      <c r="E142" s="228" t="inlineStr">
        <is>
          <t>Immutable Git fixtures, wrong SHA/object/path and unsupported-entry guards; source byte identity evidence.</t>
        </is>
      </c>
      <c r="F142" s="228" t="inlineStr">
        <is>
          <t>Immutable Git fixtures, wrong SHA/object/path and unsupported-entry guards; source byte identity evidence.</t>
        </is>
      </c>
      <c r="G142" s="228" t="inlineStr">
        <is>
          <t>Immutable Git fixtures, wrong SHA/object/path and unsupported-entry guards; source byte identity evidence.</t>
        </is>
      </c>
      <c r="H142" s="228" t="inlineStr">
        <is>
          <t>Immutable Git fixtures, wrong SHA/object/path and unsupported-entry guards; source byte identity evidence.</t>
        </is>
      </c>
      <c r="I142" s="228" t="inlineStr">
        <is>
          <t>Immutable Git fixtures, wrong SHA/object/path and unsupported-entry guards; source byte identity evidence.</t>
        </is>
      </c>
      <c r="J142" s="228" t="inlineStr">
        <is>
          <t>Immutable Git fixtures, wrong SHA/object/path and unsupported-entry guards; source byte identity evidence.</t>
        </is>
      </c>
      <c r="K142" s="228" t="inlineStr">
        <is>
          <t>Immutable Git fixtures, wrong SHA/object/path and unsupported-entry guards; source byte identity evidence.</t>
        </is>
      </c>
    </row>
    <row r="143" spans="2:3" ht="45" customHeight="1" ns3:dyDescent="0.3">
      <c r="B143" s="227" t="inlineStr">
        <is>
          <t>Traceability / review</t>
        </is>
      </c>
      <c r="C143" s="227" t="inlineStr">
        <is>
          <t>Traceability / review</t>
        </is>
      </c>
      <c r="D143" s="228" t="inlineStr">
        <is>
          <t>PB03 prerequisite; PB05/PB19. Reviewer proposed: Tran Hung Khanh. Allocation: Do Ha An 10h.</t>
        </is>
      </c>
      <c r="E143" s="228" t="inlineStr">
        <is>
          <t>PB03 prerequisite; PB05/PB19. Reviewer proposed: Tran Hung Khanh. Allocation: Do Ha An 10h.</t>
        </is>
      </c>
      <c r="F143" s="228" t="inlineStr">
        <is>
          <t>PB03 prerequisite; PB05/PB19. Reviewer proposed: Tran Hung Khanh. Allocation: Do Ha An 10h.</t>
        </is>
      </c>
      <c r="G143" s="228" t="inlineStr">
        <is>
          <t>PB03 prerequisite; PB05/PB19. Reviewer proposed: Tran Hung Khanh. Allocation: Do Ha An 10h.</t>
        </is>
      </c>
      <c r="H143" s="228" t="inlineStr">
        <is>
          <t>PB03 prerequisite; PB05/PB19. Reviewer proposed: Tran Hung Khanh. Allocation: Do Ha An 10h.</t>
        </is>
      </c>
      <c r="I143" s="228" t="inlineStr">
        <is>
          <t>PB03 prerequisite; PB05/PB19. Reviewer proposed: Tran Hung Khanh. Allocation: Do Ha An 10h.</t>
        </is>
      </c>
      <c r="J143" s="228" t="inlineStr">
        <is>
          <t>PB03 prerequisite; PB05/PB19. Reviewer proposed: Tran Hung Khanh. Allocation: Do Ha An 10h.</t>
        </is>
      </c>
      <c r="K143" s="228" t="inlineStr">
        <is>
          <t>PB03 prerequisite; PB05/PB19. Reviewer proposed: Tran Hung Khanh. Allocation: Do Ha An 10h.</t>
        </is>
      </c>
    </row>
    <row r="144" spans="2:3" ht="13.5" customHeight="1" ns3:dyDescent="0.3">
      <c r="B144" s="7"/>
      <c r="C144" s="8"/>
    </row>
    <row r="145" spans="2:3" ht="27" customHeight="1" ns3:dyDescent="0.3">
      <c r="B145" s="225" t="inlineStr">
        <is>
          <t>2.16  Component-to-test relationships with provenance and granularity</t>
        </is>
      </c>
      <c r="C145" s="225" t="inlineStr">
        <is>
          <t>2.16  Component-to-test relationships with provenance and granularity</t>
        </is>
      </c>
      <c r="D145" s="226" t="inlineStr">
        <is>
          <t>2.16  Component-to-test relationships with provenance and granularity</t>
        </is>
      </c>
      <c r="E145" s="226" t="inlineStr">
        <is>
          <t>2.16  Component-to-test relationships with provenance and granularity</t>
        </is>
      </c>
      <c r="F145" s="226" t="inlineStr">
        <is>
          <t>2.16  Component-to-test relationships with provenance and granularity</t>
        </is>
      </c>
      <c r="G145" s="226" t="inlineStr">
        <is>
          <t>2.16  Component-to-test relationships with provenance and granularity</t>
        </is>
      </c>
      <c r="H145" s="226" t="inlineStr">
        <is>
          <t>2.16  Component-to-test relationships with provenance and granularity</t>
        </is>
      </c>
      <c r="I145" s="226" t="inlineStr">
        <is>
          <t>2.16  Component-to-test relationships with provenance and granularity</t>
        </is>
      </c>
      <c r="J145" s="226" t="inlineStr">
        <is>
          <t>2.16  Component-to-test relationships with provenance and granularity</t>
        </is>
      </c>
      <c r="K145" s="226" t="inlineStr">
        <is>
          <t>2.16  Component-to-test relationships with provenance and granularity</t>
        </is>
      </c>
    </row>
    <row r="146" spans="2:3" ht="32" customHeight="1" ns3:dyDescent="0.3">
      <c r="B146" s="227" t="inlineStr">
        <is>
          <t>Dependencies</t>
        </is>
      </c>
      <c r="C146" s="227" t="inlineStr">
        <is>
          <t>Dependencies</t>
        </is>
      </c>
      <c r="D146" s="228" t="inlineStr">
        <is>
          <t>2.03/2.04; 2.08/2.09; 2.14</t>
        </is>
      </c>
      <c r="E146" s="228" t="inlineStr">
        <is>
          <t>2.03/2.04; 2.08/2.09; 2.14</t>
        </is>
      </c>
      <c r="F146" s="228" t="inlineStr">
        <is>
          <t>2.03/2.04; 2.08/2.09; 2.14</t>
        </is>
      </c>
      <c r="G146" s="228" t="inlineStr">
        <is>
          <t>2.03/2.04; 2.08/2.09; 2.14</t>
        </is>
      </c>
      <c r="H146" s="228" t="inlineStr">
        <is>
          <t>2.03/2.04; 2.08/2.09; 2.14</t>
        </is>
      </c>
      <c r="I146" s="228" t="inlineStr">
        <is>
          <t>2.03/2.04; 2.08/2.09; 2.14</t>
        </is>
      </c>
      <c r="J146" s="228" t="inlineStr">
        <is>
          <t>2.03/2.04; 2.08/2.09; 2.14</t>
        </is>
      </c>
      <c r="K146" s="228" t="inlineStr">
        <is>
          <t>2.03/2.04; 2.08/2.09; 2.14</t>
        </is>
      </c>
    </row>
    <row r="147" spans="2:3" ht="62" customHeight="1" ns3:dyDescent="0.3">
      <c r="B147" s="227" t="inlineStr">
        <is>
          <t>Acceptance criteria</t>
        </is>
      </c>
      <c r="C147" s="227" t="inlineStr">
        <is>
          <t>Acceptance criteria</t>
        </is>
      </c>
      <c r="D147" s="228" t="inlineStr">
        <is>
          <t>Map only supported relationships to IDs present in target inventory. Report unresolved mappings explicitly; never infer safe exclusion. Exclude full-suite outcomes/fault labels from mapping inputs. No production selector is introduced.</t>
        </is>
      </c>
      <c r="E147" s="228" t="inlineStr">
        <is>
          <t>Map only supported relationships to IDs present in target inventory. Report unresolved mappings explicitly; never infer safe exclusion. Exclude full-suite outcomes/fault labels from mapping inputs. No production selector is introduced.</t>
        </is>
      </c>
      <c r="F147" s="228" t="inlineStr">
        <is>
          <t>Map only supported relationships to IDs present in target inventory. Report unresolved mappings explicitly; never infer safe exclusion. Exclude full-suite outcomes/fault labels from mapping inputs. No production selector is introduced.</t>
        </is>
      </c>
      <c r="G147" s="228" t="inlineStr">
        <is>
          <t>Map only supported relationships to IDs present in target inventory. Report unresolved mappings explicitly; never infer safe exclusion. Exclude full-suite outcomes/fault labels from mapping inputs. No production selector is introduced.</t>
        </is>
      </c>
      <c r="H147" s="228" t="inlineStr">
        <is>
          <t>Map only supported relationships to IDs present in target inventory. Report unresolved mappings explicitly; never infer safe exclusion. Exclude full-suite outcomes/fault labels from mapping inputs. No production selector is introduced.</t>
        </is>
      </c>
      <c r="I147" s="228" t="inlineStr">
        <is>
          <t>Map only supported relationships to IDs present in target inventory. Report unresolved mappings explicitly; never infer safe exclusion. Exclude full-suite outcomes/fault labels from mapping inputs. No production selector is introduced.</t>
        </is>
      </c>
      <c r="J147" s="228" t="inlineStr">
        <is>
          <t>Map only supported relationships to IDs present in target inventory. Report unresolved mappings explicitly; never infer safe exclusion. Exclude full-suite outcomes/fault labels from mapping inputs. No production selector is introduced.</t>
        </is>
      </c>
      <c r="K147" s="228" t="inlineStr">
        <is>
          <t>Map only supported relationships to IDs present in target inventory. Report unresolved mappings explicitly; never infer safe exclusion. Exclude full-suite outcomes/fault labels from mapping inputs. No production selector is introduced.</t>
        </is>
      </c>
    </row>
    <row r="148" spans="2:3" ht="48" customHeight="1" ns3:dyDescent="0.3">
      <c r="B148" s="227" t="inlineStr">
        <is>
          <t>Verification planned</t>
        </is>
      </c>
      <c r="C148" s="227" t="inlineStr">
        <is>
          <t>Verification planned</t>
        </is>
      </c>
      <c r="D148" s="228" t="inlineStr">
        <is>
          <t>Known relationships, unknown test IDs, wrong target and unresolved cases with independently expected mappings.</t>
        </is>
      </c>
      <c r="E148" s="228" t="inlineStr">
        <is>
          <t>Known relationships, unknown test IDs, wrong target and unresolved cases with independently expected mappings.</t>
        </is>
      </c>
      <c r="F148" s="228" t="inlineStr">
        <is>
          <t>Known relationships, unknown test IDs, wrong target and unresolved cases with independently expected mappings.</t>
        </is>
      </c>
      <c r="G148" s="228" t="inlineStr">
        <is>
          <t>Known relationships, unknown test IDs, wrong target and unresolved cases with independently expected mappings.</t>
        </is>
      </c>
      <c r="H148" s="228" t="inlineStr">
        <is>
          <t>Known relationships, unknown test IDs, wrong target and unresolved cases with independently expected mappings.</t>
        </is>
      </c>
      <c r="I148" s="228" t="inlineStr">
        <is>
          <t>Known relationships, unknown test IDs, wrong target and unresolved cases with independently expected mappings.</t>
        </is>
      </c>
      <c r="J148" s="228" t="inlineStr">
        <is>
          <t>Known relationships, unknown test IDs, wrong target and unresolved cases with independently expected mappings.</t>
        </is>
      </c>
      <c r="K148" s="228" t="inlineStr">
        <is>
          <t>Known relationships, unknown test IDs, wrong target and unresolved cases with independently expected mappings.</t>
        </is>
      </c>
    </row>
    <row r="149" spans="2:3" ht="45" customHeight="1" ns3:dyDescent="0.3">
      <c r="B149" s="227" t="inlineStr">
        <is>
          <t>Traceability / review</t>
        </is>
      </c>
      <c r="C149" s="227" t="inlineStr">
        <is>
          <t>Traceability / review</t>
        </is>
      </c>
      <c r="D149" s="228" t="inlineStr">
        <is>
          <t>PB06/PB09; prepares PB22. Reviewer proposed: Pham Phan Hoang Huy. Allocation: Tran Hung Khanh 8h.</t>
        </is>
      </c>
      <c r="E149" s="228" t="inlineStr">
        <is>
          <t>PB06/PB09; prepares PB22. Reviewer proposed: Pham Phan Hoang Huy. Allocation: Tran Hung Khanh 8h.</t>
        </is>
      </c>
      <c r="F149" s="228" t="inlineStr">
        <is>
          <t>PB06/PB09; prepares PB22. Reviewer proposed: Pham Phan Hoang Huy. Allocation: Tran Hung Khanh 8h.</t>
        </is>
      </c>
      <c r="G149" s="228" t="inlineStr">
        <is>
          <t>PB06/PB09; prepares PB22. Reviewer proposed: Pham Phan Hoang Huy. Allocation: Tran Hung Khanh 8h.</t>
        </is>
      </c>
      <c r="H149" s="228" t="inlineStr">
        <is>
          <t>PB06/PB09; prepares PB22. Reviewer proposed: Pham Phan Hoang Huy. Allocation: Tran Hung Khanh 8h.</t>
        </is>
      </c>
      <c r="I149" s="228" t="inlineStr">
        <is>
          <t>PB06/PB09; prepares PB22. Reviewer proposed: Pham Phan Hoang Huy. Allocation: Tran Hung Khanh 8h.</t>
        </is>
      </c>
      <c r="J149" s="228" t="inlineStr">
        <is>
          <t>PB06/PB09; prepares PB22. Reviewer proposed: Pham Phan Hoang Huy. Allocation: Tran Hung Khanh 8h.</t>
        </is>
      </c>
      <c r="K149" s="228" t="inlineStr">
        <is>
          <t>PB06/PB09; prepares PB22. Reviewer proposed: Pham Phan Hoang Huy. Allocation: Tran Hung Khanh 8h.</t>
        </is>
      </c>
    </row>
    <row r="150" spans="2:3" ht="13.5" customHeight="1" ns3:dyDescent="0.3">
      <c r="B150" s="7"/>
      <c r="C150" s="8"/>
    </row>
    <row r="151" spans="2:3" ht="27" customHeight="1" ns3:dyDescent="0.3">
      <c r="B151" s="225" t="inlineStr">
        <is>
          <t>2.17  Analysis-scope manifest propagated through stage reports</t>
        </is>
      </c>
      <c r="C151" s="225" t="inlineStr">
        <is>
          <t>2.17  Analysis-scope manifest propagated through stage reports</t>
        </is>
      </c>
      <c r="D151" s="226" t="inlineStr">
        <is>
          <t>2.17  Analysis-scope manifest propagated through stage reports</t>
        </is>
      </c>
      <c r="E151" s="226" t="inlineStr">
        <is>
          <t>2.17  Analysis-scope manifest propagated through stage reports</t>
        </is>
      </c>
      <c r="F151" s="226" t="inlineStr">
        <is>
          <t>2.17  Analysis-scope manifest propagated through stage reports</t>
        </is>
      </c>
      <c r="G151" s="226" t="inlineStr">
        <is>
          <t>2.17  Analysis-scope manifest propagated through stage reports</t>
        </is>
      </c>
      <c r="H151" s="226" t="inlineStr">
        <is>
          <t>2.17  Analysis-scope manifest propagated through stage reports</t>
        </is>
      </c>
      <c r="I151" s="226" t="inlineStr">
        <is>
          <t>2.17  Analysis-scope manifest propagated through stage reports</t>
        </is>
      </c>
      <c r="J151" s="226" t="inlineStr">
        <is>
          <t>2.17  Analysis-scope manifest propagated through stage reports</t>
        </is>
      </c>
      <c r="K151" s="226" t="inlineStr">
        <is>
          <t>2.17  Analysis-scope manifest propagated through stage reports</t>
        </is>
      </c>
    </row>
    <row r="152" spans="2:3" ht="32" customHeight="1" ns3:dyDescent="0.3">
      <c r="B152" s="227" t="inlineStr">
        <is>
          <t>Dependencies</t>
        </is>
      </c>
      <c r="C152" s="227" t="inlineStr">
        <is>
          <t>Dependencies</t>
        </is>
      </c>
      <c r="D152" s="228" t="inlineStr">
        <is>
          <t>2.14 manifest design; integrate each stage as produced</t>
        </is>
      </c>
      <c r="E152" s="228" t="inlineStr">
        <is>
          <t>2.14 manifest design; integrate each stage as produced</t>
        </is>
      </c>
      <c r="F152" s="228" t="inlineStr">
        <is>
          <t>2.14 manifest design; integrate each stage as produced</t>
        </is>
      </c>
      <c r="G152" s="228" t="inlineStr">
        <is>
          <t>2.14 manifest design; integrate each stage as produced</t>
        </is>
      </c>
      <c r="H152" s="228" t="inlineStr">
        <is>
          <t>2.14 manifest design; integrate each stage as produced</t>
        </is>
      </c>
      <c r="I152" s="228" t="inlineStr">
        <is>
          <t>2.14 manifest design; integrate each stage as produced</t>
        </is>
      </c>
      <c r="J152" s="228" t="inlineStr">
        <is>
          <t>2.14 manifest design; integrate each stage as produced</t>
        </is>
      </c>
      <c r="K152" s="228" t="inlineStr">
        <is>
          <t>2.14 manifest design; integrate each stage as produced</t>
        </is>
      </c>
    </row>
    <row r="153" spans="2:3" ht="62" customHeight="1" ns3:dyDescent="0.3">
      <c r="B153" s="227" t="inlineStr">
        <is>
          <t>Acceptance criteria</t>
        </is>
      </c>
      <c r="C153" s="227" t="inlineStr">
        <is>
          <t>Acceptance criteria</t>
        </is>
      </c>
      <c r="D153" s="228" t="inlineStr">
        <is>
          <t>Record analyzed files/modules and partial/unsupported/error reasons. Parse/discovery failures differ from no impact. AN owns analysis status; KH owns inventory propagation. Coverage means analysis scope, not runtime test coverage.</t>
        </is>
      </c>
      <c r="E153" s="228" t="inlineStr">
        <is>
          <t>Record analyzed files/modules and partial/unsupported/error reasons. Parse/discovery failures differ from no impact. AN owns analysis status; KH owns inventory propagation. Coverage means analysis scope, not runtime test coverage.</t>
        </is>
      </c>
      <c r="F153" s="228" t="inlineStr">
        <is>
          <t>Record analyzed files/modules and partial/unsupported/error reasons. Parse/discovery failures differ from no impact. AN owns analysis status; KH owns inventory propagation. Coverage means analysis scope, not runtime test coverage.</t>
        </is>
      </c>
      <c r="G153" s="228" t="inlineStr">
        <is>
          <t>Record analyzed files/modules and partial/unsupported/error reasons. Parse/discovery failures differ from no impact. AN owns analysis status; KH owns inventory propagation. Coverage means analysis scope, not runtime test coverage.</t>
        </is>
      </c>
      <c r="H153" s="228" t="inlineStr">
        <is>
          <t>Record analyzed files/modules and partial/unsupported/error reasons. Parse/discovery failures differ from no impact. AN owns analysis status; KH owns inventory propagation. Coverage means analysis scope, not runtime test coverage.</t>
        </is>
      </c>
      <c r="I153" s="228" t="inlineStr">
        <is>
          <t>Record analyzed files/modules and partial/unsupported/error reasons. Parse/discovery failures differ from no impact. AN owns analysis status; KH owns inventory propagation. Coverage means analysis scope, not runtime test coverage.</t>
        </is>
      </c>
      <c r="J153" s="228" t="inlineStr">
        <is>
          <t>Record analyzed files/modules and partial/unsupported/error reasons. Parse/discovery failures differ from no impact. AN owns analysis status; KH owns inventory propagation. Coverage means analysis scope, not runtime test coverage.</t>
        </is>
      </c>
      <c r="K153" s="228" t="inlineStr">
        <is>
          <t>Record analyzed files/modules and partial/unsupported/error reasons. Parse/discovery failures differ from no impact. AN owns analysis status; KH owns inventory propagation. Coverage means analysis scope, not runtime test coverage.</t>
        </is>
      </c>
    </row>
    <row r="154" spans="2:3" ht="48" customHeight="1" ns3:dyDescent="0.3">
      <c r="B154" s="227" t="inlineStr">
        <is>
          <t>Verification planned</t>
        </is>
      </c>
      <c r="C154" s="227" t="inlineStr">
        <is>
          <t>Verification planned</t>
        </is>
      </c>
      <c r="D154" s="228" t="inlineStr">
        <is>
          <t>Partial and failure propagation through workflow/report; inspect unsupported inputs and incomplete inventory.</t>
        </is>
      </c>
      <c r="E154" s="228" t="inlineStr">
        <is>
          <t>Partial and failure propagation through workflow/report; inspect unsupported inputs and incomplete inventory.</t>
        </is>
      </c>
      <c r="F154" s="228" t="inlineStr">
        <is>
          <t>Partial and failure propagation through workflow/report; inspect unsupported inputs and incomplete inventory.</t>
        </is>
      </c>
      <c r="G154" s="228" t="inlineStr">
        <is>
          <t>Partial and failure propagation through workflow/report; inspect unsupported inputs and incomplete inventory.</t>
        </is>
      </c>
      <c r="H154" s="228" t="inlineStr">
        <is>
          <t>Partial and failure propagation through workflow/report; inspect unsupported inputs and incomplete inventory.</t>
        </is>
      </c>
      <c r="I154" s="228" t="inlineStr">
        <is>
          <t>Partial and failure propagation through workflow/report; inspect unsupported inputs and incomplete inventory.</t>
        </is>
      </c>
      <c r="J154" s="228" t="inlineStr">
        <is>
          <t>Partial and failure propagation through workflow/report; inspect unsupported inputs and incomplete inventory.</t>
        </is>
      </c>
      <c r="K154" s="228" t="inlineStr">
        <is>
          <t>Partial and failure propagation through workflow/report; inspect unsupported inputs and incomplete inventory.</t>
        </is>
      </c>
    </row>
    <row r="155" spans="2:3" ht="45" customHeight="1" ns3:dyDescent="0.3">
      <c r="B155" s="227" t="inlineStr">
        <is>
          <t>Traceability / review</t>
        </is>
      </c>
      <c r="C155" s="227" t="inlineStr">
        <is>
          <t>Traceability / review</t>
        </is>
      </c>
      <c r="D155" s="228" t="inlineStr">
        <is>
          <t>PB06/PB07/PB09/PB20. Reviewer proposed: Nguyen Tan Huy. Allocation: Do Ha An 6h; Tran Hung Khanh 4h.</t>
        </is>
      </c>
      <c r="E155" s="228" t="inlineStr">
        <is>
          <t>PB06/PB07/PB09/PB20. Reviewer proposed: Nguyen Tan Huy. Allocation: Do Ha An 6h; Tran Hung Khanh 4h.</t>
        </is>
      </c>
      <c r="F155" s="228" t="inlineStr">
        <is>
          <t>PB06/PB07/PB09/PB20. Reviewer proposed: Nguyen Tan Huy. Allocation: Do Ha An 6h; Tran Hung Khanh 4h.</t>
        </is>
      </c>
      <c r="G155" s="228" t="inlineStr">
        <is>
          <t>PB06/PB07/PB09/PB20. Reviewer proposed: Nguyen Tan Huy. Allocation: Do Ha An 6h; Tran Hung Khanh 4h.</t>
        </is>
      </c>
      <c r="H155" s="228" t="inlineStr">
        <is>
          <t>PB06/PB07/PB09/PB20. Reviewer proposed: Nguyen Tan Huy. Allocation: Do Ha An 6h; Tran Hung Khanh 4h.</t>
        </is>
      </c>
      <c r="I155" s="228" t="inlineStr">
        <is>
          <t>PB06/PB07/PB09/PB20. Reviewer proposed: Nguyen Tan Huy. Allocation: Do Ha An 6h; Tran Hung Khanh 4h.</t>
        </is>
      </c>
      <c r="J155" s="228" t="inlineStr">
        <is>
          <t>PB06/PB07/PB09/PB20. Reviewer proposed: Nguyen Tan Huy. Allocation: Do Ha An 6h; Tran Hung Khanh 4h.</t>
        </is>
      </c>
      <c r="K155" s="228" t="inlineStr">
        <is>
          <t>PB06/PB07/PB09/PB20. Reviewer proposed: Nguyen Tan Huy. Allocation: Do Ha An 6h; Tran Hung Khanh 4h.</t>
        </is>
      </c>
    </row>
    <row r="156" spans="2:3" ht="13.5" customHeight="1" ns3:dyDescent="0.3">
      <c r="B156" s="7"/>
      <c r="C156" s="8"/>
    </row>
    <row r="157" spans="2:3" ht="27" customHeight="1" ns3:dyDescent="0.3">
      <c r="B157" s="225" t="inlineStr">
        <is>
          <t>2.18  Validated report loading, navigation and stage-state views</t>
        </is>
      </c>
      <c r="C157" s="225" t="inlineStr">
        <is>
          <t>2.18  Validated report loading, navigation and stage-state views</t>
        </is>
      </c>
      <c r="D157" s="226" t="inlineStr">
        <is>
          <t>2.18  Validated report loading, navigation and stage-state views</t>
        </is>
      </c>
      <c r="E157" s="226" t="inlineStr">
        <is>
          <t>2.18  Validated report loading, navigation and stage-state views</t>
        </is>
      </c>
      <c r="F157" s="226" t="inlineStr">
        <is>
          <t>2.18  Validated report loading, navigation and stage-state views</t>
        </is>
      </c>
      <c r="G157" s="226" t="inlineStr">
        <is>
          <t>2.18  Validated report loading, navigation and stage-state views</t>
        </is>
      </c>
      <c r="H157" s="226" t="inlineStr">
        <is>
          <t>2.18  Validated report loading, navigation and stage-state views</t>
        </is>
      </c>
      <c r="I157" s="226" t="inlineStr">
        <is>
          <t>2.18  Validated report loading, navigation and stage-state views</t>
        </is>
      </c>
      <c r="J157" s="226" t="inlineStr">
        <is>
          <t>2.18  Validated report loading, navigation and stage-state views</t>
        </is>
      </c>
      <c r="K157" s="226" t="inlineStr">
        <is>
          <t>2.18  Validated report loading, navigation and stage-state views</t>
        </is>
      </c>
    </row>
    <row r="158" spans="2:3" ht="32" customHeight="1" ns3:dyDescent="0.3">
      <c r="B158" s="227" t="inlineStr">
        <is>
          <t>Dependencies</t>
        </is>
      </c>
      <c r="C158" s="227" t="inlineStr">
        <is>
          <t>Dependencies</t>
        </is>
      </c>
      <c r="D158" s="228" t="inlineStr">
        <is>
          <t>2.14 contract; 2.06 component; real stage outputs</t>
        </is>
      </c>
      <c r="E158" s="228" t="inlineStr">
        <is>
          <t>2.14 contract; 2.06 component; real stage outputs</t>
        </is>
      </c>
      <c r="F158" s="228" t="inlineStr">
        <is>
          <t>2.14 contract; 2.06 component; real stage outputs</t>
        </is>
      </c>
      <c r="G158" s="228" t="inlineStr">
        <is>
          <t>2.14 contract; 2.06 component; real stage outputs</t>
        </is>
      </c>
      <c r="H158" s="228" t="inlineStr">
        <is>
          <t>2.14 contract; 2.06 component; real stage outputs</t>
        </is>
      </c>
      <c r="I158" s="228" t="inlineStr">
        <is>
          <t>2.14 contract; 2.06 component; real stage outputs</t>
        </is>
      </c>
      <c r="J158" s="228" t="inlineStr">
        <is>
          <t>2.14 contract; 2.06 component; real stage outputs</t>
        </is>
      </c>
      <c r="K158" s="228" t="inlineStr">
        <is>
          <t>2.14 contract; 2.06 component; real stage outputs</t>
        </is>
      </c>
    </row>
    <row r="159" spans="2:3" ht="62" customHeight="1" ns3:dyDescent="0.3">
      <c r="B159" s="227" t="inlineStr">
        <is>
          <t>Acceptance criteria</t>
        </is>
      </c>
      <c r="C159" s="227" t="inlineStr">
        <is>
          <t>Acceptance criteria</t>
        </is>
      </c>
      <c r="D159" s="228" t="inlineStr">
        <is>
          <t>Open real stage output and validate its contract. Distinguish DEMO/real/loading/empty/partial/error. Display revision/path/span and reuse 2.06 evidence items. UI slice is proposed earlier; PB16 history/evaluation dashboard stays in its sprint.</t>
        </is>
      </c>
      <c r="E159" s="228" t="inlineStr">
        <is>
          <t>Open real stage output and validate its contract. Distinguish DEMO/real/loading/empty/partial/error. Display revision/path/span and reuse 2.06 evidence items. UI slice is proposed earlier; PB16 history/evaluation dashboard stays in its sprint.</t>
        </is>
      </c>
      <c r="F159" s="228" t="inlineStr">
        <is>
          <t>Open real stage output and validate its contract. Distinguish DEMO/real/loading/empty/partial/error. Display revision/path/span and reuse 2.06 evidence items. UI slice is proposed earlier; PB16 history/evaluation dashboard stays in its sprint.</t>
        </is>
      </c>
      <c r="G159" s="228" t="inlineStr">
        <is>
          <t>Open real stage output and validate its contract. Distinguish DEMO/real/loading/empty/partial/error. Display revision/path/span and reuse 2.06 evidence items. UI slice is proposed earlier; PB16 history/evaluation dashboard stays in its sprint.</t>
        </is>
      </c>
      <c r="H159" s="228" t="inlineStr">
        <is>
          <t>Open real stage output and validate its contract. Distinguish DEMO/real/loading/empty/partial/error. Display revision/path/span and reuse 2.06 evidence items. UI slice is proposed earlier; PB16 history/evaluation dashboard stays in its sprint.</t>
        </is>
      </c>
      <c r="I159" s="228" t="inlineStr">
        <is>
          <t>Open real stage output and validate its contract. Distinguish DEMO/real/loading/empty/partial/error. Display revision/path/span and reuse 2.06 evidence items. UI slice is proposed earlier; PB16 history/evaluation dashboard stays in its sprint.</t>
        </is>
      </c>
      <c r="J159" s="228" t="inlineStr">
        <is>
          <t>Open real stage output and validate its contract. Distinguish DEMO/real/loading/empty/partial/error. Display revision/path/span and reuse 2.06 evidence items. UI slice is proposed earlier; PB16 history/evaluation dashboard stays in its sprint.</t>
        </is>
      </c>
      <c r="K159" s="228" t="inlineStr">
        <is>
          <t>Open real stage output and validate its contract. Distinguish DEMO/real/loading/empty/partial/error. Display revision/path/span and reuse 2.06 evidence items. UI slice is proposed earlier; PB16 history/evaluation dashboard stays in its sprint.</t>
        </is>
      </c>
    </row>
    <row r="160" spans="2:3" ht="48" customHeight="1" ns3:dyDescent="0.3">
      <c r="B160" s="227" t="inlineStr">
        <is>
          <t>Verification planned</t>
        </is>
      </c>
      <c r="C160" s="227" t="inlineStr">
        <is>
          <t>Verification planned</t>
        </is>
      </c>
      <c r="D160" s="228" t="inlineStr">
        <is>
          <t>Real report loading plus invalid/partial/error states; accessible navigation and visible evidence identity.</t>
        </is>
      </c>
      <c r="E160" s="228" t="inlineStr">
        <is>
          <t>Real report loading plus invalid/partial/error states; accessible navigation and visible evidence identity.</t>
        </is>
      </c>
      <c r="F160" s="228" t="inlineStr">
        <is>
          <t>Real report loading plus invalid/partial/error states; accessible navigation and visible evidence identity.</t>
        </is>
      </c>
      <c r="G160" s="228" t="inlineStr">
        <is>
          <t>Real report loading plus invalid/partial/error states; accessible navigation and visible evidence identity.</t>
        </is>
      </c>
      <c r="H160" s="228" t="inlineStr">
        <is>
          <t>Real report loading plus invalid/partial/error states; accessible navigation and visible evidence identity.</t>
        </is>
      </c>
      <c r="I160" s="228" t="inlineStr">
        <is>
          <t>Real report loading plus invalid/partial/error states; accessible navigation and visible evidence identity.</t>
        </is>
      </c>
      <c r="J160" s="228" t="inlineStr">
        <is>
          <t>Real report loading plus invalid/partial/error states; accessible navigation and visible evidence identity.</t>
        </is>
      </c>
      <c r="K160" s="228" t="inlineStr">
        <is>
          <t>Real report loading plus invalid/partial/error states; accessible navigation and visible evidence identity.</t>
        </is>
      </c>
    </row>
    <row r="161" spans="2:3" ht="45" customHeight="1" ns3:dyDescent="0.3">
      <c r="B161" s="227" t="inlineStr">
        <is>
          <t>Traceability / review</t>
        </is>
      </c>
      <c r="C161" s="227" t="inlineStr">
        <is>
          <t>Traceability / review</t>
        </is>
      </c>
      <c r="D161" s="228" t="inlineStr">
        <is>
          <t>PB05/PB07 display; supports 2.13. Reviewer proposed: Nguyen Tan Huy. Allocation: Dang Dai Viet 10h.</t>
        </is>
      </c>
      <c r="E161" s="228" t="inlineStr">
        <is>
          <t>PB05/PB07 display; supports 2.13. Reviewer proposed: Nguyen Tan Huy. Allocation: Dang Dai Viet 10h.</t>
        </is>
      </c>
      <c r="F161" s="228" t="inlineStr">
        <is>
          <t>PB05/PB07 display; supports 2.13. Reviewer proposed: Nguyen Tan Huy. Allocation: Dang Dai Viet 10h.</t>
        </is>
      </c>
      <c r="G161" s="228" t="inlineStr">
        <is>
          <t>PB05/PB07 display; supports 2.13. Reviewer proposed: Nguyen Tan Huy. Allocation: Dang Dai Viet 10h.</t>
        </is>
      </c>
      <c r="H161" s="228" t="inlineStr">
        <is>
          <t>PB05/PB07 display; supports 2.13. Reviewer proposed: Nguyen Tan Huy. Allocation: Dang Dai Viet 10h.</t>
        </is>
      </c>
      <c r="I161" s="228" t="inlineStr">
        <is>
          <t>PB05/PB07 display; supports 2.13. Reviewer proposed: Nguyen Tan Huy. Allocation: Dang Dai Viet 10h.</t>
        </is>
      </c>
      <c r="J161" s="228" t="inlineStr">
        <is>
          <t>PB05/PB07 display; supports 2.13. Reviewer proposed: Nguyen Tan Huy. Allocation: Dang Dai Viet 10h.</t>
        </is>
      </c>
      <c r="K161" s="228" t="inlineStr">
        <is>
          <t>PB05/PB07 display; supports 2.13. Reviewer proposed: Nguyen Tan Huy. Allocation: Dang Dai Viet 10h.</t>
        </is>
      </c>
    </row>
    <row r="162" spans="2:3" ht="13.5" customHeight="1" ns3:dyDescent="0.3">
      <c r="B162" s="7"/>
      <c r="C162" s="8"/>
    </row>
    <row r="163" spans="2:3" ht="27" customHeight="1" ns3:dyDescent="0.3">
      <c r="B163" s="225" t="inlineStr">
        <is>
          <t>2.19  Cross-module regression cases and reproduction evidence</t>
        </is>
      </c>
      <c r="C163" s="225" t="inlineStr">
        <is>
          <t>2.19  Cross-module regression cases and reproduction evidence</t>
        </is>
      </c>
      <c r="D163" s="226" t="inlineStr">
        <is>
          <t>2.19  Cross-module regression cases and reproduction evidence</t>
        </is>
      </c>
      <c r="E163" s="226" t="inlineStr">
        <is>
          <t>2.19  Cross-module regression cases and reproduction evidence</t>
        </is>
      </c>
      <c r="F163" s="226" t="inlineStr">
        <is>
          <t>2.19  Cross-module regression cases and reproduction evidence</t>
        </is>
      </c>
      <c r="G163" s="226" t="inlineStr">
        <is>
          <t>2.19  Cross-module regression cases and reproduction evidence</t>
        </is>
      </c>
      <c r="H163" s="226" t="inlineStr">
        <is>
          <t>2.19  Cross-module regression cases and reproduction evidence</t>
        </is>
      </c>
      <c r="I163" s="226" t="inlineStr">
        <is>
          <t>2.19  Cross-module regression cases and reproduction evidence</t>
        </is>
      </c>
      <c r="J163" s="226" t="inlineStr">
        <is>
          <t>2.19  Cross-module regression cases and reproduction evidence</t>
        </is>
      </c>
      <c r="K163" s="226" t="inlineStr">
        <is>
          <t>2.19  Cross-module regression cases and reproduction evidence</t>
        </is>
      </c>
    </row>
    <row r="164" spans="2:3" ht="32" customHeight="1" ns3:dyDescent="0.3">
      <c r="B164" s="227" t="inlineStr">
        <is>
          <t>Dependencies</t>
        </is>
      </c>
      <c r="C164" s="227" t="inlineStr">
        <is>
          <t>Dependencies</t>
        </is>
      </c>
      <c r="D164" s="228" t="inlineStr">
        <is>
          <t>2.14 expectations; integrated stage boundaries from 2.13</t>
        </is>
      </c>
      <c r="E164" s="228" t="inlineStr">
        <is>
          <t>2.14 expectations; integrated stage boundaries from 2.13</t>
        </is>
      </c>
      <c r="F164" s="228" t="inlineStr">
        <is>
          <t>2.14 expectations; integrated stage boundaries from 2.13</t>
        </is>
      </c>
      <c r="G164" s="228" t="inlineStr">
        <is>
          <t>2.14 expectations; integrated stage boundaries from 2.13</t>
        </is>
      </c>
      <c r="H164" s="228" t="inlineStr">
        <is>
          <t>2.14 expectations; integrated stage boundaries from 2.13</t>
        </is>
      </c>
      <c r="I164" s="228" t="inlineStr">
        <is>
          <t>2.14 expectations; integrated stage boundaries from 2.13</t>
        </is>
      </c>
      <c r="J164" s="228" t="inlineStr">
        <is>
          <t>2.14 expectations; integrated stage boundaries from 2.13</t>
        </is>
      </c>
      <c r="K164" s="228" t="inlineStr">
        <is>
          <t>2.14 expectations; integrated stage boundaries from 2.13</t>
        </is>
      </c>
    </row>
    <row r="165" spans="2:3" ht="62" customHeight="1" ns3:dyDescent="0.3">
      <c r="B165" s="227" t="inlineStr">
        <is>
          <t>Acceptance criteria</t>
        </is>
      </c>
      <c r="C165" s="227" t="inlineStr">
        <is>
          <t>Acceptance criteria</t>
        </is>
      </c>
      <c r="D165" s="228" t="inlineStr">
        <is>
          <t>Cover wrong repo/SHA, invalid evidence, stale index, unknown test ID, failed discovery and partial analysis. Expected outcomes are independent of observed output. AN owns identity/evidence cases; KH owns inventory/runner integration cases.</t>
        </is>
      </c>
      <c r="E165" s="228" t="inlineStr">
        <is>
          <t>Cover wrong repo/SHA, invalid evidence, stale index, unknown test ID, failed discovery and partial analysis. Expected outcomes are independent of observed output. AN owns identity/evidence cases; KH owns inventory/runner integration cases.</t>
        </is>
      </c>
      <c r="F165" s="228" t="inlineStr">
        <is>
          <t>Cover wrong repo/SHA, invalid evidence, stale index, unknown test ID, failed discovery and partial analysis. Expected outcomes are independent of observed output. AN owns identity/evidence cases; KH owns inventory/runner integration cases.</t>
        </is>
      </c>
      <c r="G165" s="228" t="inlineStr">
        <is>
          <t>Cover wrong repo/SHA, invalid evidence, stale index, unknown test ID, failed discovery and partial analysis. Expected outcomes are independent of observed output. AN owns identity/evidence cases; KH owns inventory/runner integration cases.</t>
        </is>
      </c>
      <c r="H165" s="228" t="inlineStr">
        <is>
          <t>Cover wrong repo/SHA, invalid evidence, stale index, unknown test ID, failed discovery and partial analysis. Expected outcomes are independent of observed output. AN owns identity/evidence cases; KH owns inventory/runner integration cases.</t>
        </is>
      </c>
      <c r="I165" s="228" t="inlineStr">
        <is>
          <t>Cover wrong repo/SHA, invalid evidence, stale index, unknown test ID, failed discovery and partial analysis. Expected outcomes are independent of observed output. AN owns identity/evidence cases; KH owns inventory/runner integration cases.</t>
        </is>
      </c>
      <c r="J165" s="228" t="inlineStr">
        <is>
          <t>Cover wrong repo/SHA, invalid evidence, stale index, unknown test ID, failed discovery and partial analysis. Expected outcomes are independent of observed output. AN owns identity/evidence cases; KH owns inventory/runner integration cases.</t>
        </is>
      </c>
      <c r="K165" s="228" t="inlineStr">
        <is>
          <t>Cover wrong repo/SHA, invalid evidence, stale index, unknown test ID, failed discovery and partial analysis. Expected outcomes are independent of observed output. AN owns identity/evidence cases; KH owns inventory/runner integration cases.</t>
        </is>
      </c>
    </row>
    <row r="166" spans="2:3" ht="48" customHeight="1" ns3:dyDescent="0.3">
      <c r="B166" s="227" t="inlineStr">
        <is>
          <t>Verification planned</t>
        </is>
      </c>
      <c r="C166" s="227" t="inlineStr">
        <is>
          <t>Verification planned</t>
        </is>
      </c>
      <c r="D166" s="228" t="inlineStr">
        <is>
          <t>SmartRegression tests on authorized fixtures/candidates; do not generate tests for input repos or recount task unit tests.</t>
        </is>
      </c>
      <c r="E166" s="228" t="inlineStr">
        <is>
          <t>SmartRegression tests on authorized fixtures/candidates; do not generate tests for input repos or recount task unit tests.</t>
        </is>
      </c>
      <c r="F166" s="228" t="inlineStr">
        <is>
          <t>SmartRegression tests on authorized fixtures/candidates; do not generate tests for input repos or recount task unit tests.</t>
        </is>
      </c>
      <c r="G166" s="228" t="inlineStr">
        <is>
          <t>SmartRegression tests on authorized fixtures/candidates; do not generate tests for input repos or recount task unit tests.</t>
        </is>
      </c>
      <c r="H166" s="228" t="inlineStr">
        <is>
          <t>SmartRegression tests on authorized fixtures/candidates; do not generate tests for input repos or recount task unit tests.</t>
        </is>
      </c>
      <c r="I166" s="228" t="inlineStr">
        <is>
          <t>SmartRegression tests on authorized fixtures/candidates; do not generate tests for input repos or recount task unit tests.</t>
        </is>
      </c>
      <c r="J166" s="228" t="inlineStr">
        <is>
          <t>SmartRegression tests on authorized fixtures/candidates; do not generate tests for input repos or recount task unit tests.</t>
        </is>
      </c>
      <c r="K166" s="228" t="inlineStr">
        <is>
          <t>SmartRegression tests on authorized fixtures/candidates; do not generate tests for input repos or recount task unit tests.</t>
        </is>
      </c>
    </row>
    <row r="167" spans="2:3" ht="45" customHeight="1" ns3:dyDescent="0.3">
      <c r="B167" s="227" t="inlineStr">
        <is>
          <t>Traceability / review</t>
        </is>
      </c>
      <c r="C167" s="227" t="inlineStr">
        <is>
          <t>Traceability / review</t>
        </is>
      </c>
      <c r="D167" s="228" t="inlineStr">
        <is>
          <t>Sprint 2 integration quality. Reviewer proposed: Dang Dai Viet. Allocation: Do Ha An 4h; Tran Hung Khanh 4h.</t>
        </is>
      </c>
      <c r="E167" s="228" t="inlineStr">
        <is>
          <t>Sprint 2 integration quality. Reviewer proposed: Dang Dai Viet. Allocation: Do Ha An 4h; Tran Hung Khanh 4h.</t>
        </is>
      </c>
      <c r="F167" s="228" t="inlineStr">
        <is>
          <t>Sprint 2 integration quality. Reviewer proposed: Dang Dai Viet. Allocation: Do Ha An 4h; Tran Hung Khanh 4h.</t>
        </is>
      </c>
      <c r="G167" s="228" t="inlineStr">
        <is>
          <t>Sprint 2 integration quality. Reviewer proposed: Dang Dai Viet. Allocation: Do Ha An 4h; Tran Hung Khanh 4h.</t>
        </is>
      </c>
      <c r="H167" s="228" t="inlineStr">
        <is>
          <t>Sprint 2 integration quality. Reviewer proposed: Dang Dai Viet. Allocation: Do Ha An 4h; Tran Hung Khanh 4h.</t>
        </is>
      </c>
      <c r="I167" s="228" t="inlineStr">
        <is>
          <t>Sprint 2 integration quality. Reviewer proposed: Dang Dai Viet. Allocation: Do Ha An 4h; Tran Hung Khanh 4h.</t>
        </is>
      </c>
      <c r="J167" s="228" t="inlineStr">
        <is>
          <t>Sprint 2 integration quality. Reviewer proposed: Dang Dai Viet. Allocation: Do Ha An 4h; Tran Hung Khanh 4h.</t>
        </is>
      </c>
      <c r="K167" s="228" t="inlineStr">
        <is>
          <t>Sprint 2 integration quality. Reviewer proposed: Dang Dai Viet. Allocation: Do Ha An 4h; Tran Hung Khanh 4h.</t>
        </is>
      </c>
    </row>
    <row r="168" spans="2:3" ht="13.5" customHeight="1" ns3:dyDescent="0.3">
      <c r="B168" s="7"/>
      <c r="C168" s="8"/>
    </row>
    <row r="169" spans="2:3" ht="27" customHeight="1" ns3:dyDescent="0.3">
      <c r="B169" s="225" t="inlineStr">
        <is>
          <t>2.20  Bounded PostgreSQL foundation; 24h preliminary estimate</t>
        </is>
      </c>
      <c r="C169" s="225" t="inlineStr">
        <is>
          <t>2.20  Bounded PostgreSQL foundation; 24h preliminary estimate</t>
        </is>
      </c>
      <c r="D169" s="226" t="inlineStr">
        <is>
          <t>2.20  Bounded PostgreSQL foundation; 24h preliminary estimate</t>
        </is>
      </c>
      <c r="E169" s="226" t="inlineStr">
        <is>
          <t>2.20  Bounded PostgreSQL foundation; 24h preliminary estimate</t>
        </is>
      </c>
      <c r="F169" s="226" t="inlineStr">
        <is>
          <t>2.20  Bounded PostgreSQL foundation; 24h preliminary estimate</t>
        </is>
      </c>
      <c r="G169" s="226" t="inlineStr">
        <is>
          <t>2.20  Bounded PostgreSQL foundation; 24h preliminary estimate</t>
        </is>
      </c>
      <c r="H169" s="226" t="inlineStr">
        <is>
          <t>2.20  Bounded PostgreSQL foundation; 24h preliminary estimate</t>
        </is>
      </c>
      <c r="I169" s="226" t="inlineStr">
        <is>
          <t>2.20  Bounded PostgreSQL foundation; 24h preliminary estimate</t>
        </is>
      </c>
      <c r="J169" s="226" t="inlineStr">
        <is>
          <t>2.20  Bounded PostgreSQL foundation; 24h preliminary estimate</t>
        </is>
      </c>
      <c r="K169" s="226" t="inlineStr">
        <is>
          <t>2.20  Bounded PostgreSQL foundation; 24h preliminary estimate</t>
        </is>
      </c>
    </row>
    <row r="170" spans="2:3" ht="32" customHeight="1" ns3:dyDescent="0.3">
      <c r="B170" s="227" t="inlineStr">
        <is>
          <t>Dependencies</t>
        </is>
      </c>
      <c r="C170" s="227" t="inlineStr">
        <is>
          <t>Dependencies</t>
        </is>
      </c>
      <c r="D170" s="228" t="inlineStr">
        <is>
          <t>2.14 contract; minimum-schema/tooling decision checkpoint</t>
        </is>
      </c>
      <c r="E170" s="228" t="inlineStr">
        <is>
          <t>2.14 contract; minimum-schema/tooling decision checkpoint</t>
        </is>
      </c>
      <c r="F170" s="228" t="inlineStr">
        <is>
          <t>2.14 contract; minimum-schema/tooling decision checkpoint</t>
        </is>
      </c>
      <c r="G170" s="228" t="inlineStr">
        <is>
          <t>2.14 contract; minimum-schema/tooling decision checkpoint</t>
        </is>
      </c>
      <c r="H170" s="228" t="inlineStr">
        <is>
          <t>2.14 contract; minimum-schema/tooling decision checkpoint</t>
        </is>
      </c>
      <c r="I170" s="228" t="inlineStr">
        <is>
          <t>2.14 contract; minimum-schema/tooling decision checkpoint</t>
        </is>
      </c>
      <c r="J170" s="228" t="inlineStr">
        <is>
          <t>2.14 contract; minimum-schema/tooling decision checkpoint</t>
        </is>
      </c>
      <c r="K170" s="228" t="inlineStr">
        <is>
          <t>2.14 contract; minimum-schema/tooling decision checkpoint</t>
        </is>
      </c>
    </row>
    <row r="171" spans="2:3" ht="62" customHeight="1" ns3:dyDescent="0.3">
      <c r="B171" s="227" t="inlineStr">
        <is>
          <t>Acceptance criteria</t>
        </is>
      </c>
      <c r="C171" s="227" t="inlineStr">
        <is>
          <t>Acceptance criteria</t>
        </is>
      </c>
      <c r="D171" s="228" t="inlineStr">
        <is>
          <t>Map minimum schema and FK prerequisites to DB Design v1.5. Backend-only config without secrets, versioned migrations, real PostgreSQL integration checks and cross-repo/run/snapshot constraints. Verify transactions/failure/rollback and setup/recovery; artifacts remain separate.</t>
        </is>
      </c>
      <c r="E171" s="228" t="inlineStr">
        <is>
          <t>Map minimum schema and FK prerequisites to DB Design v1.5. Backend-only config without secrets, versioned migrations, real PostgreSQL integration checks and cross-repo/run/snapshot constraints. Verify transactions/failure/rollback and setup/recovery; artifacts remain separate.</t>
        </is>
      </c>
      <c r="F171" s="228" t="inlineStr">
        <is>
          <t>Map minimum schema and FK prerequisites to DB Design v1.5. Backend-only config without secrets, versioned migrations, real PostgreSQL integration checks and cross-repo/run/snapshot constraints. Verify transactions/failure/rollback and setup/recovery; artifacts remain separate.</t>
        </is>
      </c>
      <c r="G171" s="228" t="inlineStr">
        <is>
          <t>Map minimum schema and FK prerequisites to DB Design v1.5. Backend-only config without secrets, versioned migrations, real PostgreSQL integration checks and cross-repo/run/snapshot constraints. Verify transactions/failure/rollback and setup/recovery; artifacts remain separate.</t>
        </is>
      </c>
      <c r="H171" s="228" t="inlineStr">
        <is>
          <t>Map minimum schema and FK prerequisites to DB Design v1.5. Backend-only config without secrets, versioned migrations, real PostgreSQL integration checks and cross-repo/run/snapshot constraints. Verify transactions/failure/rollback and setup/recovery; artifacts remain separate.</t>
        </is>
      </c>
      <c r="I171" s="228" t="inlineStr">
        <is>
          <t>Map minimum schema and FK prerequisites to DB Design v1.5. Backend-only config without secrets, versioned migrations, real PostgreSQL integration checks and cross-repo/run/snapshot constraints. Verify transactions/failure/rollback and setup/recovery; artifacts remain separate.</t>
        </is>
      </c>
      <c r="J171" s="228" t="inlineStr">
        <is>
          <t>Map minimum schema and FK prerequisites to DB Design v1.5. Backend-only config without secrets, versioned migrations, real PostgreSQL integration checks and cross-repo/run/snapshot constraints. Verify transactions/failure/rollback and setup/recovery; artifacts remain separate.</t>
        </is>
      </c>
      <c r="K171" s="228" t="inlineStr">
        <is>
          <t>Map minimum schema and FK prerequisites to DB Design v1.5. Backend-only config without secrets, versioned migrations, real PostgreSQL integration checks and cross-repo/run/snapshot constraints. Verify transactions/failure/rollback and setup/recovery; artifacts remain separate.</t>
        </is>
      </c>
    </row>
    <row r="172" spans="2:3" ht="48" customHeight="1" ns3:dyDescent="0.3">
      <c r="B172" s="227" t="inlineStr">
        <is>
          <t>Verification planned</t>
        </is>
      </c>
      <c r="C172" s="227" t="inlineStr">
        <is>
          <t>Verification planned</t>
        </is>
      </c>
      <c r="D172" s="228" t="inlineStr">
        <is>
          <t>PostgreSQL migration/round-trip/failure evidence. H1 owns contracts/connection; KH owns migration mechanism/integration checks. Consumers own domain persistence; one migration writer. Re-estimate proposal if slice exceeds 24h.</t>
        </is>
      </c>
      <c r="E172" s="228" t="inlineStr">
        <is>
          <t>PostgreSQL migration/round-trip/failure evidence. H1 owns contracts/connection; KH owns migration mechanism/integration checks. Consumers own domain persistence; one migration writer. Re-estimate proposal if slice exceeds 24h.</t>
        </is>
      </c>
      <c r="F172" s="228" t="inlineStr">
        <is>
          <t>PostgreSQL migration/round-trip/failure evidence. H1 owns contracts/connection; KH owns migration mechanism/integration checks. Consumers own domain persistence; one migration writer. Re-estimate proposal if slice exceeds 24h.</t>
        </is>
      </c>
      <c r="G172" s="228" t="inlineStr">
        <is>
          <t>PostgreSQL migration/round-trip/failure evidence. H1 owns contracts/connection; KH owns migration mechanism/integration checks. Consumers own domain persistence; one migration writer. Re-estimate proposal if slice exceeds 24h.</t>
        </is>
      </c>
      <c r="H172" s="228" t="inlineStr">
        <is>
          <t>PostgreSQL migration/round-trip/failure evidence. H1 owns contracts/connection; KH owns migration mechanism/integration checks. Consumers own domain persistence; one migration writer. Re-estimate proposal if slice exceeds 24h.</t>
        </is>
      </c>
      <c r="I172" s="228" t="inlineStr">
        <is>
          <t>PostgreSQL migration/round-trip/failure evidence. H1 owns contracts/connection; KH owns migration mechanism/integration checks. Consumers own domain persistence; one migration writer. Re-estimate proposal if slice exceeds 24h.</t>
        </is>
      </c>
      <c r="J172" s="228" t="inlineStr">
        <is>
          <t>PostgreSQL migration/round-trip/failure evidence. H1 owns contracts/connection; KH owns migration mechanism/integration checks. Consumers own domain persistence; one migration writer. Re-estimate proposal if slice exceeds 24h.</t>
        </is>
      </c>
      <c r="K172" s="228" t="inlineStr">
        <is>
          <t>PostgreSQL migration/round-trip/failure evidence. H1 owns contracts/connection; KH owns migration mechanism/integration checks. Consumers own domain persistence; one migration writer. Re-estimate proposal if slice exceeds 24h.</t>
        </is>
      </c>
    </row>
    <row r="173" spans="2:3" ht="45" customHeight="1" ns3:dyDescent="0.3">
      <c r="B173" s="227" t="inlineStr">
        <is>
          <t>Traceability / review</t>
        </is>
      </c>
      <c r="C173" s="227" t="inlineStr">
        <is>
          <t>Traceability / review</t>
        </is>
      </c>
      <c r="D173" s="228" t="inlineStr">
        <is>
          <t>Supports PB04/PB06/PB09/PB19/PB20. Reviewer proposed: Do Ha An. Allocation: Nguyen Tan Huy 12h; Tran Hung Khanh 12h.</t>
        </is>
      </c>
      <c r="E173" s="228" t="inlineStr">
        <is>
          <t>Supports PB04/PB06/PB09/PB19/PB20. Reviewer proposed: Do Ha An. Allocation: Nguyen Tan Huy 12h; Tran Hung Khanh 12h.</t>
        </is>
      </c>
      <c r="F173" s="228" t="inlineStr">
        <is>
          <t>Supports PB04/PB06/PB09/PB19/PB20. Reviewer proposed: Do Ha An. Allocation: Nguyen Tan Huy 12h; Tran Hung Khanh 12h.</t>
        </is>
      </c>
      <c r="G173" s="228" t="inlineStr">
        <is>
          <t>Supports PB04/PB06/PB09/PB19/PB20. Reviewer proposed: Do Ha An. Allocation: Nguyen Tan Huy 12h; Tran Hung Khanh 12h.</t>
        </is>
      </c>
      <c r="H173" s="228" t="inlineStr">
        <is>
          <t>Supports PB04/PB06/PB09/PB19/PB20. Reviewer proposed: Do Ha An. Allocation: Nguyen Tan Huy 12h; Tran Hung Khanh 12h.</t>
        </is>
      </c>
      <c r="I173" s="228" t="inlineStr">
        <is>
          <t>Supports PB04/PB06/PB09/PB19/PB20. Reviewer proposed: Do Ha An. Allocation: Nguyen Tan Huy 12h; Tran Hung Khanh 12h.</t>
        </is>
      </c>
      <c r="J173" s="228" t="inlineStr">
        <is>
          <t>Supports PB04/PB06/PB09/PB19/PB20. Reviewer proposed: Do Ha An. Allocation: Nguyen Tan Huy 12h; Tran Hung Khanh 12h.</t>
        </is>
      </c>
      <c r="K173" s="228" t="inlineStr">
        <is>
          <t>Supports PB04/PB06/PB09/PB19/PB20. Reviewer proposed: Do Ha An. Allocation: Nguyen Tan Huy 12h; Tran Hung Khanh 12h.</t>
        </is>
      </c>
    </row>
    <row r="174" spans="2:3" ht="13.5" customHeight="1" ns3:dyDescent="0.3">
      <c r="B174" s="7"/>
      <c r="C174" s="8"/>
    </row>
    <row r="175" spans="2:3" ht="13.5" customHeight="1" ns3:dyDescent="0.3">
      <c r="B175" s="7"/>
      <c r="C175" s="8"/>
    </row>
    <row r="176" spans="2:3" ht="13.5" customHeight="1" ns3:dyDescent="0.3">
      <c r="B176" s="7"/>
      <c r="C176" s="8"/>
    </row>
    <row r="177" spans="2:3" ht="13.5" customHeight="1" ns3:dyDescent="0.3">
      <c r="B177" s="7"/>
      <c r="C177" s="8"/>
    </row>
    <row r="178" spans="2:3" ht="13.5" customHeight="1" ns3:dyDescent="0.3">
      <c r="B178" s="7"/>
      <c r="C178" s="8"/>
    </row>
    <row r="179" spans="2:3" ht="13.5" customHeight="1" ns3:dyDescent="0.3">
      <c r="B179" s="7"/>
      <c r="C179" s="8"/>
    </row>
    <row r="180" spans="2:3" ht="27" customHeight="1" ns3:dyDescent="0.3">
      <c r="B180" s="225" t="inlineStr">
        <is>
          <t>Planned allocation and resource needs (hours)</t>
        </is>
      </c>
      <c r="C180" s="225" t="inlineStr">
        <is>
          <t>Planned allocation and resource needs (hours)</t>
        </is>
      </c>
      <c r="D180" s="226" t="inlineStr">
        <is>
          <t>Planned allocation and resource needs (hours)</t>
        </is>
      </c>
      <c r="E180" s="226" t="inlineStr">
        <is>
          <t>Planned allocation and resource needs (hours)</t>
        </is>
      </c>
      <c r="F180" s="226" t="inlineStr">
        <is>
          <t>Planned allocation and resource needs (hours)</t>
        </is>
      </c>
      <c r="G180" s="226" t="inlineStr">
        <is>
          <t>Planned allocation and resource needs (hours)</t>
        </is>
      </c>
      <c r="H180" s="226" t="inlineStr">
        <is>
          <t>Planned allocation and resource needs (hours)</t>
        </is>
      </c>
      <c r="I180" s="226" t="inlineStr">
        <is>
          <t>Planned allocation and resource needs (hours)</t>
        </is>
      </c>
      <c r="J180" s="226" t="inlineStr">
        <is>
          <t>Planned allocation and resource needs (hours)</t>
        </is>
      </c>
      <c r="K180" s="226" t="inlineStr">
        <is>
          <t>Planned allocation and resource needs (hours)</t>
        </is>
      </c>
    </row>
    <row r="181" spans="2:3" ht="34" customHeight="1" ns3:dyDescent="0.3">
      <c r="B181" s="217" t="inlineStr">
        <is>
          <t>Accountable owner is not the full effort allocation. This table is proposed planning only; daily worked-hour logs at rows 44–51 remain actual effort.</t>
        </is>
      </c>
      <c r="C181" s="217" t="inlineStr">
        <is>
          <t>Accountable owner is not the full effort allocation. This table is proposed planning only; daily worked-hour logs at rows 44–51 remain actual effort.</t>
        </is>
      </c>
      <c r="D181" s="220" t="inlineStr">
        <is>
          <t>Accountable owner is not the full effort allocation. This table is proposed planning only; daily worked-hour logs at rows 44–51 remain actual effort.</t>
        </is>
      </c>
      <c r="E181" s="220" t="inlineStr">
        <is>
          <t>Accountable owner is not the full effort allocation. This table is proposed planning only; daily worked-hour logs at rows 44–51 remain actual effort.</t>
        </is>
      </c>
      <c r="F181" s="220" t="inlineStr">
        <is>
          <t>Accountable owner is not the full effort allocation. This table is proposed planning only; daily worked-hour logs at rows 44–51 remain actual effort.</t>
        </is>
      </c>
      <c r="G181" s="220" t="inlineStr">
        <is>
          <t>Accountable owner is not the full effort allocation. This table is proposed planning only; daily worked-hour logs at rows 44–51 remain actual effort.</t>
        </is>
      </c>
      <c r="H181" s="220" t="inlineStr">
        <is>
          <t>Accountable owner is not the full effort allocation. This table is proposed planning only; daily worked-hour logs at rows 44–51 remain actual effort.</t>
        </is>
      </c>
      <c r="I181" s="220" t="inlineStr">
        <is>
          <t>Accountable owner is not the full effort allocation. This table is proposed planning only; daily worked-hour logs at rows 44–51 remain actual effort.</t>
        </is>
      </c>
      <c r="J181" s="220" t="inlineStr">
        <is>
          <t>Accountable owner is not the full effort allocation. This table is proposed planning only; daily worked-hour logs at rows 44–51 remain actual effort.</t>
        </is>
      </c>
      <c r="K181" s="220" t="inlineStr">
        <is>
          <t>Accountable owner is not the full effort allocation. This table is proposed planning only; daily worked-hour logs at rows 44–51 remain actual effort.</t>
        </is>
      </c>
    </row>
    <row r="182" spans="2:3" ht="13.5" customHeight="1" ns3:dyDescent="0.3">
      <c r="B182" s="7"/>
      <c r="C182" s="8"/>
    </row>
    <row r="183" spans="2:3" ht="13.5" customHeight="1" ns3:dyDescent="0.3">
      <c r="B183" s="7"/>
      <c r="C183" s="8"/>
    </row>
    <row r="184" spans="2:3" ht="28" customHeight="1" ns3:dyDescent="0.3">
      <c r="B184" s="236" t="inlineStr">
        <is>
          <t>Task ID</t>
        </is>
      </c>
      <c r="C184" s="237" t="inlineStr">
        <is>
          <t>Member</t>
        </is>
      </c>
      <c r="D184" s="238" t="inlineStr">
        <is>
          <t>Member</t>
        </is>
      </c>
      <c r="E184" s="238" t="inlineStr">
        <is>
          <t>Member</t>
        </is>
      </c>
      <c r="F184" s="239" t="inlineStr">
        <is>
          <t>Planned hours</t>
        </is>
      </c>
      <c r="H184" s="220" t="inlineStr">
        <is>
          <t>Member allocation</t>
        </is>
      </c>
      <c r="I184" s="220" t="inlineStr">
        <is>
          <t>Member allocation</t>
        </is>
      </c>
      <c r="J184" s="220" t="inlineStr">
        <is>
          <t>Member allocation</t>
        </is>
      </c>
      <c r="K184" t="inlineStr" s="106">
        <is>
          <t>Hours</t>
        </is>
      </c>
    </row>
    <row r="185" spans="2:3" ht="26" customHeight="1" ns3:dyDescent="0.3">
      <c r="B185" s="252" t="inlineStr">
        <is>
          <t>2.01</t>
        </is>
      </c>
      <c r="C185" s="237" t="inlineStr">
        <is>
          <t>Do Ha An</t>
        </is>
      </c>
      <c r="D185" s="238" t="inlineStr">
        <is>
          <t>Do Ha An</t>
        </is>
      </c>
      <c r="E185" s="238" t="inlineStr">
        <is>
          <t>Do Ha An</t>
        </is>
      </c>
      <c r="F185" s="241" t="n">
        <v>20</v>
      </c>
      <c r="H185" s="220" t="inlineStr">
        <is>
          <t>Nguyen Tan Huy</t>
        </is>
      </c>
      <c r="I185" s="220" t="inlineStr">
        <is>
          <t>Nguyen Tan Huy</t>
        </is>
      </c>
      <c r="J185" s="220" t="inlineStr">
        <is>
          <t>Nguyen Tan Huy</t>
        </is>
      </c>
      <c r="K185" t="n" s="106">
        <f>SUMIF(C185:C209,H185,F185:F209)</f>
        <v>50</v>
      </c>
    </row>
    <row r="186" spans="2:3" ht="26" customHeight="1" ns3:dyDescent="0.3">
      <c r="B186" s="252" t="inlineStr">
        <is>
          <t>2.02</t>
        </is>
      </c>
      <c r="C186" s="237" t="inlineStr">
        <is>
          <t>Dang Dai Viet</t>
        </is>
      </c>
      <c r="D186" s="238" t="inlineStr">
        <is>
          <t>Dang Dai Viet</t>
        </is>
      </c>
      <c r="E186" s="238" t="inlineStr">
        <is>
          <t>Dang Dai Viet</t>
        </is>
      </c>
      <c r="F186" s="241" t="n">
        <v>8</v>
      </c>
      <c r="H186" s="220" t="inlineStr">
        <is>
          <t>Do Ha An</t>
        </is>
      </c>
      <c r="I186" s="220" t="inlineStr">
        <is>
          <t>Do Ha An</t>
        </is>
      </c>
      <c r="J186" s="220" t="inlineStr">
        <is>
          <t>Do Ha An</t>
        </is>
      </c>
      <c r="K186" t="n" s="106">
        <f>SUMIF(C185:C209,H186,F185:F209)</f>
        <v>40</v>
      </c>
    </row>
    <row r="187" spans="2:3" ht="26" customHeight="1" ns3:dyDescent="0.3">
      <c r="B187" s="252" t="inlineStr">
        <is>
          <t>2.03</t>
        </is>
      </c>
      <c r="C187" s="237" t="inlineStr">
        <is>
          <t>Pham Phan Hoang Huy</t>
        </is>
      </c>
      <c r="D187" s="238" t="inlineStr">
        <is>
          <t>Pham Phan Hoang Huy</t>
        </is>
      </c>
      <c r="E187" s="238" t="inlineStr">
        <is>
          <t>Pham Phan Hoang Huy</t>
        </is>
      </c>
      <c r="F187" s="241" t="n">
        <v>16</v>
      </c>
      <c r="H187" s="220" t="inlineStr">
        <is>
          <t>Pham Phan Hoang Huy</t>
        </is>
      </c>
      <c r="I187" s="220" t="inlineStr">
        <is>
          <t>Pham Phan Hoang Huy</t>
        </is>
      </c>
      <c r="J187" s="220" t="inlineStr">
        <is>
          <t>Pham Phan Hoang Huy</t>
        </is>
      </c>
      <c r="K187" t="n" s="106">
        <f>SUMIF(C185:C209,H187,F185:F209)</f>
        <v>52</v>
      </c>
    </row>
    <row r="188" spans="2:3" ht="26" customHeight="1" ns3:dyDescent="0.3">
      <c r="B188" s="252" t="inlineStr">
        <is>
          <t>2.04</t>
        </is>
      </c>
      <c r="C188" s="237" t="inlineStr">
        <is>
          <t>Pham Phan Hoang Huy</t>
        </is>
      </c>
      <c r="D188" s="238" t="inlineStr">
        <is>
          <t>Pham Phan Hoang Huy</t>
        </is>
      </c>
      <c r="E188" s="238" t="inlineStr">
        <is>
          <t>Pham Phan Hoang Huy</t>
        </is>
      </c>
      <c r="F188" s="241" t="n">
        <v>12</v>
      </c>
      <c r="H188" s="220" t="inlineStr">
        <is>
          <t>Tran Hung Khanh</t>
        </is>
      </c>
      <c r="I188" s="220" t="inlineStr">
        <is>
          <t>Tran Hung Khanh</t>
        </is>
      </c>
      <c r="J188" s="220" t="inlineStr">
        <is>
          <t>Tran Hung Khanh</t>
        </is>
      </c>
      <c r="K188" t="n" s="106">
        <f>SUMIF(C185:C209,H188,F185:F209)</f>
        <v>50</v>
      </c>
    </row>
    <row r="189" spans="2:3" ht="26" customHeight="1" ns3:dyDescent="0.3">
      <c r="B189" s="252" t="inlineStr">
        <is>
          <t>2.05</t>
        </is>
      </c>
      <c r="C189" s="237" t="inlineStr">
        <is>
          <t>Nguyen Tan Huy</t>
        </is>
      </c>
      <c r="D189" s="238" t="inlineStr">
        <is>
          <t>Nguyen Tan Huy</t>
        </is>
      </c>
      <c r="E189" s="238" t="inlineStr">
        <is>
          <t>Nguyen Tan Huy</t>
        </is>
      </c>
      <c r="F189" s="241" t="n">
        <v>8</v>
      </c>
      <c r="H189" s="220" t="inlineStr">
        <is>
          <t>Dang Dai Viet</t>
        </is>
      </c>
      <c r="I189" s="220" t="inlineStr">
        <is>
          <t>Dang Dai Viet</t>
        </is>
      </c>
      <c r="J189" s="220" t="inlineStr">
        <is>
          <t>Dang Dai Viet</t>
        </is>
      </c>
      <c r="K189" t="n" s="106">
        <f>SUMIF(C185:C209,H189,F185:F209)</f>
        <v>40</v>
      </c>
    </row>
    <row r="190" spans="2:3" ht="25" customHeight="1" ns3:dyDescent="0.3">
      <c r="B190" s="252" t="inlineStr">
        <is>
          <t>2.06</t>
        </is>
      </c>
      <c r="C190" s="237" t="inlineStr">
        <is>
          <t>Nguyen Tan Huy</t>
        </is>
      </c>
      <c r="D190" s="238" t="inlineStr">
        <is>
          <t>Nguyen Tan Huy</t>
        </is>
      </c>
      <c r="E190" s="238" t="inlineStr">
        <is>
          <t>Nguyen Tan Huy</t>
        </is>
      </c>
      <c r="F190" s="241" t="n">
        <v>6</v>
      </c>
      <c r="H190" s="220" t="inlineStr">
        <is>
          <t>Task hours</t>
        </is>
      </c>
      <c r="I190" s="220" t="inlineStr">
        <is>
          <t>Task hours</t>
        </is>
      </c>
      <c r="J190" s="220" t="inlineStr">
        <is>
          <t>Task hours</t>
        </is>
      </c>
      <c r="K190" t="n" s="106">
        <f>SUM(K185:K189)</f>
        <v>232</v>
      </c>
    </row>
    <row r="191" spans="2:3" ht="25" customHeight="1" ns3:dyDescent="0.3">
      <c r="B191" s="252" t="inlineStr">
        <is>
          <t>2.06</t>
        </is>
      </c>
      <c r="C191" s="237" t="inlineStr">
        <is>
          <t>Dang Dai Viet</t>
        </is>
      </c>
      <c r="D191" s="238" t="inlineStr">
        <is>
          <t>Dang Dai Viet</t>
        </is>
      </c>
      <c r="E191" s="238" t="inlineStr">
        <is>
          <t>Dang Dai Viet</t>
        </is>
      </c>
      <c r="F191" s="241" t="n">
        <v>6</v>
      </c>
    </row>
    <row r="192" spans="2:3" ht="25" customHeight="1" ns3:dyDescent="0.3">
      <c r="B192" s="252" t="inlineStr">
        <is>
          <t>2.07</t>
        </is>
      </c>
      <c r="C192" s="237" t="inlineStr">
        <is>
          <t>Dang Dai Viet</t>
        </is>
      </c>
      <c r="D192" s="238" t="inlineStr">
        <is>
          <t>Dang Dai Viet</t>
        </is>
      </c>
      <c r="E192" s="238" t="inlineStr">
        <is>
          <t>Dang Dai Viet</t>
        </is>
      </c>
      <c r="F192" s="241" t="n">
        <v>8</v>
      </c>
      <c r="H192" s="220" t="inlineStr">
        <is>
          <t>Proposed reserve</t>
        </is>
      </c>
      <c r="I192" s="220" t="inlineStr">
        <is>
          <t>Proposed reserve</t>
        </is>
      </c>
      <c r="J192" s="220" t="inlineStr">
        <is>
          <t>Proposed reserve</t>
        </is>
      </c>
      <c r="K192" t="n" s="106">
        <v>32</v>
      </c>
    </row>
    <row r="193" spans="2:3" ht="25" customHeight="1" ns3:dyDescent="0.3">
      <c r="B193" s="252" t="inlineStr">
        <is>
          <t>2.08</t>
        </is>
      </c>
      <c r="C193" s="237" t="inlineStr">
        <is>
          <t>Tran Hung Khanh</t>
        </is>
      </c>
      <c r="D193" s="238" t="inlineStr">
        <is>
          <t>Tran Hung Khanh</t>
        </is>
      </c>
      <c r="E193" s="238" t="inlineStr">
        <is>
          <t>Tran Hung Khanh</t>
        </is>
      </c>
      <c r="F193" s="241" t="n">
        <v>12</v>
      </c>
      <c r="H193" s="220" t="inlineStr">
        <is>
          <t>Resource need</t>
        </is>
      </c>
      <c r="I193" s="220" t="inlineStr">
        <is>
          <t>Resource need</t>
        </is>
      </c>
      <c r="J193" s="220" t="inlineStr">
        <is>
          <t>Resource need</t>
        </is>
      </c>
      <c r="K193" t="n" s="106">
        <f>G38+K192</f>
        <v>264</v>
      </c>
    </row>
    <row r="194" spans="2:3" ht="52" customHeight="1" ns3:dyDescent="0.3">
      <c r="B194" s="252" t="inlineStr">
        <is>
          <t>2.09</t>
        </is>
      </c>
      <c r="C194" s="237" t="inlineStr">
        <is>
          <t>Tran Hung Khanh</t>
        </is>
      </c>
      <c r="D194" s="238" t="inlineStr">
        <is>
          <t>Tran Hung Khanh</t>
        </is>
      </c>
      <c r="E194" s="238" t="inlineStr">
        <is>
          <t>Tran Hung Khanh</t>
        </is>
      </c>
      <c r="F194" s="241" t="n">
        <v>6</v>
      </c>
      <c r="H194" s="220" t="inlineStr">
        <is>
          <t>Actual team capacity: pending confirmation. Reserve excludes work already estimated in tasks.</t>
        </is>
      </c>
      <c r="I194" s="220" t="inlineStr">
        <is>
          <t>Actual team capacity: pending confirmation. Reserve excludes work already estimated in tasks.</t>
        </is>
      </c>
      <c r="J194" s="220" t="inlineStr">
        <is>
          <t>Actual team capacity: pending confirmation. Reserve excludes work already estimated in tasks.</t>
        </is>
      </c>
      <c r="K194" s="220" t="inlineStr">
        <is>
          <t>Actual team capacity: pending confirmation. Reserve excludes work already estimated in tasks.</t>
        </is>
      </c>
    </row>
    <row r="195" spans="2:3" ht="25" customHeight="1" ns3:dyDescent="0.3">
      <c r="B195" s="252" t="inlineStr">
        <is>
          <t>2.10</t>
        </is>
      </c>
      <c r="C195" s="237" t="inlineStr">
        <is>
          <t>Pham Phan Hoang Huy</t>
        </is>
      </c>
      <c r="D195" s="238" t="inlineStr">
        <is>
          <t>Pham Phan Hoang Huy</t>
        </is>
      </c>
      <c r="E195" s="238" t="inlineStr">
        <is>
          <t>Pham Phan Hoang Huy</t>
        </is>
      </c>
      <c r="F195" s="241" t="n">
        <v>12</v>
      </c>
      <c r="H195" s="220" t="inlineStr">
        <is>
          <t>Actual team capacity: pending confirmation. Reserve excludes work already estimated in tasks.</t>
        </is>
      </c>
      <c r="I195" s="220" t="inlineStr">
        <is>
          <t>Actual team capacity: pending confirmation. Reserve excludes work already estimated in tasks.</t>
        </is>
      </c>
      <c r="J195" s="220" t="inlineStr">
        <is>
          <t>Actual team capacity: pending confirmation. Reserve excludes work already estimated in tasks.</t>
        </is>
      </c>
      <c r="K195" s="220" t="inlineStr">
        <is>
          <t>Actual team capacity: pending confirmation. Reserve excludes work already estimated in tasks.</t>
        </is>
      </c>
    </row>
    <row r="196" spans="2:3" ht="25" customHeight="1" ns3:dyDescent="0.3">
      <c r="B196" s="252" t="inlineStr">
        <is>
          <t>2.10</t>
        </is>
      </c>
      <c r="C196" s="237" t="inlineStr">
        <is>
          <t>Tran Hung Khanh</t>
        </is>
      </c>
      <c r="D196" s="238" t="inlineStr">
        <is>
          <t>Tran Hung Khanh</t>
        </is>
      </c>
      <c r="E196" s="238" t="inlineStr">
        <is>
          <t>Tran Hung Khanh</t>
        </is>
      </c>
      <c r="F196" s="241" t="n">
        <v>4</v>
      </c>
    </row>
    <row r="197" spans="2:3" ht="25" customHeight="1" ns3:dyDescent="0.3">
      <c r="B197" s="252" t="inlineStr">
        <is>
          <t>2.11</t>
        </is>
      </c>
      <c r="C197" s="237" t="inlineStr">
        <is>
          <t>Pham Phan Hoang Huy</t>
        </is>
      </c>
      <c r="D197" s="238" t="inlineStr">
        <is>
          <t>Pham Phan Hoang Huy</t>
        </is>
      </c>
      <c r="E197" s="238" t="inlineStr">
        <is>
          <t>Pham Phan Hoang Huy</t>
        </is>
      </c>
      <c r="F197" s="241" t="n">
        <v>12</v>
      </c>
    </row>
    <row r="198" spans="2:3" ht="25" customHeight="1" ns3:dyDescent="0.3">
      <c r="B198" s="252" t="inlineStr">
        <is>
          <t>2.12</t>
        </is>
      </c>
      <c r="C198" s="237" t="inlineStr">
        <is>
          <t>Dang Dai Viet</t>
        </is>
      </c>
      <c r="D198" s="238" t="inlineStr">
        <is>
          <t>Dang Dai Viet</t>
        </is>
      </c>
      <c r="E198" s="238" t="inlineStr">
        <is>
          <t>Dang Dai Viet</t>
        </is>
      </c>
      <c r="F198" s="241" t="n">
        <v>8</v>
      </c>
    </row>
    <row r="199" spans="2:3" ht="25" customHeight="1" ns3:dyDescent="0.3">
      <c r="B199" s="252" t="inlineStr">
        <is>
          <t>2.13</t>
        </is>
      </c>
      <c r="C199" s="237" t="inlineStr">
        <is>
          <t>Nguyen Tan Huy</t>
        </is>
      </c>
      <c r="D199" s="238" t="inlineStr">
        <is>
          <t>Nguyen Tan Huy</t>
        </is>
      </c>
      <c r="E199" s="238" t="inlineStr">
        <is>
          <t>Nguyen Tan Huy</t>
        </is>
      </c>
      <c r="F199" s="241" t="n">
        <v>12</v>
      </c>
    </row>
    <row r="200" spans="2:3" ht="25" customHeight="1" ns3:dyDescent="0.3">
      <c r="B200" s="252" t="inlineStr">
        <is>
          <t>2.14</t>
        </is>
      </c>
      <c r="C200" s="237" t="inlineStr">
        <is>
          <t>Nguyen Tan Huy</t>
        </is>
      </c>
      <c r="D200" s="238" t="inlineStr">
        <is>
          <t>Nguyen Tan Huy</t>
        </is>
      </c>
      <c r="E200" s="238" t="inlineStr">
        <is>
          <t>Nguyen Tan Huy</t>
        </is>
      </c>
      <c r="F200" s="241" t="n">
        <v>12</v>
      </c>
    </row>
    <row r="201" spans="2:3" ht="25" customHeight="1" ns3:dyDescent="0.3">
      <c r="B201" s="252" t="inlineStr">
        <is>
          <t>2.15</t>
        </is>
      </c>
      <c r="C201" s="237" t="inlineStr">
        <is>
          <t>Do Ha An</t>
        </is>
      </c>
      <c r="D201" s="238" t="inlineStr">
        <is>
          <t>Do Ha An</t>
        </is>
      </c>
      <c r="E201" s="238" t="inlineStr">
        <is>
          <t>Do Ha An</t>
        </is>
      </c>
      <c r="F201" s="241" t="n">
        <v>10</v>
      </c>
    </row>
    <row r="202" spans="2:3" ht="25" customHeight="1" ns3:dyDescent="0.3">
      <c r="B202" s="252" t="inlineStr">
        <is>
          <t>2.16</t>
        </is>
      </c>
      <c r="C202" s="237" t="inlineStr">
        <is>
          <t>Tran Hung Khanh</t>
        </is>
      </c>
      <c r="D202" s="238" t="inlineStr">
        <is>
          <t>Tran Hung Khanh</t>
        </is>
      </c>
      <c r="E202" s="238" t="inlineStr">
        <is>
          <t>Tran Hung Khanh</t>
        </is>
      </c>
      <c r="F202" s="241" t="n">
        <v>8</v>
      </c>
    </row>
    <row r="203" spans="2:3" ht="25" customHeight="1" ns3:dyDescent="0.3">
      <c r="B203" s="252" t="inlineStr">
        <is>
          <t>2.17</t>
        </is>
      </c>
      <c r="C203" s="237" t="inlineStr">
        <is>
          <t>Do Ha An</t>
        </is>
      </c>
      <c r="D203" s="238" t="inlineStr">
        <is>
          <t>Do Ha An</t>
        </is>
      </c>
      <c r="E203" s="238" t="inlineStr">
        <is>
          <t>Do Ha An</t>
        </is>
      </c>
      <c r="F203" s="241" t="n">
        <v>6</v>
      </c>
    </row>
    <row r="204" spans="2:3" ht="25" customHeight="1" ns3:dyDescent="0.3">
      <c r="B204" s="252" t="inlineStr">
        <is>
          <t>2.17</t>
        </is>
      </c>
      <c r="C204" s="237" t="inlineStr">
        <is>
          <t>Tran Hung Khanh</t>
        </is>
      </c>
      <c r="D204" s="238" t="inlineStr">
        <is>
          <t>Tran Hung Khanh</t>
        </is>
      </c>
      <c r="E204" s="238" t="inlineStr">
        <is>
          <t>Tran Hung Khanh</t>
        </is>
      </c>
      <c r="F204" s="241" t="n">
        <v>4</v>
      </c>
    </row>
    <row r="205" spans="2:3" ht="25" customHeight="1" ns3:dyDescent="0.3">
      <c r="B205" s="252" t="inlineStr">
        <is>
          <t>2.18</t>
        </is>
      </c>
      <c r="C205" s="237" t="inlineStr">
        <is>
          <t>Dang Dai Viet</t>
        </is>
      </c>
      <c r="D205" s="238" t="inlineStr">
        <is>
          <t>Dang Dai Viet</t>
        </is>
      </c>
      <c r="E205" s="238" t="inlineStr">
        <is>
          <t>Dang Dai Viet</t>
        </is>
      </c>
      <c r="F205" s="241" t="n">
        <v>10</v>
      </c>
    </row>
    <row r="206" spans="2:3" ht="25" customHeight="1" ns3:dyDescent="0.3">
      <c r="B206" s="252" t="inlineStr">
        <is>
          <t>2.19</t>
        </is>
      </c>
      <c r="C206" s="237" t="inlineStr">
        <is>
          <t>Do Ha An</t>
        </is>
      </c>
      <c r="D206" s="238" t="inlineStr">
        <is>
          <t>Do Ha An</t>
        </is>
      </c>
      <c r="E206" s="238" t="inlineStr">
        <is>
          <t>Do Ha An</t>
        </is>
      </c>
      <c r="F206" s="241" t="n">
        <v>4</v>
      </c>
    </row>
    <row r="207" spans="2:3" ht="25" customHeight="1" ns3:dyDescent="0.3">
      <c r="B207" s="252" t="inlineStr">
        <is>
          <t>2.19</t>
        </is>
      </c>
      <c r="C207" s="237" t="inlineStr">
        <is>
          <t>Tran Hung Khanh</t>
        </is>
      </c>
      <c r="D207" s="238" t="inlineStr">
        <is>
          <t>Tran Hung Khanh</t>
        </is>
      </c>
      <c r="E207" s="238" t="inlineStr">
        <is>
          <t>Tran Hung Khanh</t>
        </is>
      </c>
      <c r="F207" s="241" t="n">
        <v>4</v>
      </c>
    </row>
    <row r="208" spans="2:3" ht="25" customHeight="1" ns3:dyDescent="0.3">
      <c r="B208" s="252" t="inlineStr">
        <is>
          <t>2.20</t>
        </is>
      </c>
      <c r="C208" s="237" t="inlineStr">
        <is>
          <t>Nguyen Tan Huy</t>
        </is>
      </c>
      <c r="D208" s="238" t="inlineStr">
        <is>
          <t>Nguyen Tan Huy</t>
        </is>
      </c>
      <c r="E208" s="238" t="inlineStr">
        <is>
          <t>Nguyen Tan Huy</t>
        </is>
      </c>
      <c r="F208" s="241" t="n">
        <v>12</v>
      </c>
    </row>
    <row r="209" spans="2:3" ht="25" customHeight="1" ns3:dyDescent="0.3">
      <c r="B209" s="252" t="inlineStr">
        <is>
          <t>2.20</t>
        </is>
      </c>
      <c r="C209" s="237" t="inlineStr">
        <is>
          <t>Tran Hung Khanh</t>
        </is>
      </c>
      <c r="D209" s="238" t="inlineStr">
        <is>
          <t>Tran Hung Khanh</t>
        </is>
      </c>
      <c r="E209" s="238" t="inlineStr">
        <is>
          <t>Tran Hung Khanh</t>
        </is>
      </c>
      <c r="F209" s="241" t="n">
        <v>12</v>
      </c>
    </row>
    <row r="210" spans="2:3" ht="13.5" customHeight="1" ns3:dyDescent="0.3">
      <c r="B210" s="236" t="inlineStr">
        <is>
          <t>Total</t>
        </is>
      </c>
      <c r="C210" s="236"/>
      <c r="D210" s="239"/>
      <c r="E210" s="239"/>
      <c r="F210" s="241" t="n">
        <f>SUM(F185:F209)</f>
        <v>232</v>
      </c>
    </row>
    <row r="211" spans="2:3" ht="13.5" customHeight="1" ns3:dyDescent="0.3">
      <c r="B211" s="7"/>
      <c r="C211" s="8"/>
    </row>
    <row r="212" spans="2:3" ht="13.5" customHeight="1" ns3:dyDescent="0.3">
      <c r="B212" s="7"/>
      <c r="C212" s="8"/>
    </row>
    <row r="213" spans="2:3" ht="27" customHeight="1" ns3:dyDescent="0.3">
      <c r="B213" s="225" t="inlineStr">
        <is>
          <t>Estimate basis and checkpoints</t>
        </is>
      </c>
      <c r="C213" s="225" t="inlineStr">
        <is>
          <t>Estimate basis and checkpoints</t>
        </is>
      </c>
      <c r="D213" s="226" t="inlineStr">
        <is>
          <t>Estimate basis and checkpoints</t>
        </is>
      </c>
      <c r="E213" s="226" t="inlineStr">
        <is>
          <t>Estimate basis and checkpoints</t>
        </is>
      </c>
      <c r="F213" s="226" t="inlineStr">
        <is>
          <t>Estimate basis and checkpoints</t>
        </is>
      </c>
      <c r="G213" s="226" t="inlineStr">
        <is>
          <t>Estimate basis and checkpoints</t>
        </is>
      </c>
      <c r="H213" s="226" t="inlineStr">
        <is>
          <t>Estimate basis and checkpoints</t>
        </is>
      </c>
      <c r="I213" s="226" t="inlineStr">
        <is>
          <t>Estimate basis and checkpoints</t>
        </is>
      </c>
      <c r="J213" s="226" t="inlineStr">
        <is>
          <t>Estimate basis and checkpoints</t>
        </is>
      </c>
      <c r="K213" s="226" t="inlineStr">
        <is>
          <t>Estimate basis and checkpoints</t>
        </is>
      </c>
    </row>
    <row r="214" spans="2:3" ht="38" customHeight="1" ns3:dyDescent="0.3">
      <c r="B214" s="217" t="inlineStr">
        <is>
          <t>Task hours: original 150h + additions 58h + PostgreSQL 24h preliminary. Reserve 32h is separate; resource need is 264h, not committed team capacity.</t>
        </is>
      </c>
      <c r="C214" s="217" t="inlineStr">
        <is>
          <t>Task hours: original 150h + additions 58h + PostgreSQL 24h preliminary. Reserve 32h is separate; resource need is 264h, not committed team capacity.</t>
        </is>
      </c>
      <c r="D214" s="220" t="inlineStr">
        <is>
          <t>Task hours: original 150h + additions 58h + PostgreSQL 24h preliminary. Reserve 32h is separate; resource need is 264h, not committed team capacity.</t>
        </is>
      </c>
      <c r="E214" s="220" t="inlineStr">
        <is>
          <t>Task hours: original 150h + additions 58h + PostgreSQL 24h preliminary. Reserve 32h is separate; resource need is 264h, not committed team capacity.</t>
        </is>
      </c>
      <c r="F214" s="220" t="inlineStr">
        <is>
          <t>Task hours: original 150h + additions 58h + PostgreSQL 24h preliminary. Reserve 32h is separate; resource need is 264h, not committed team capacity.</t>
        </is>
      </c>
      <c r="G214" s="220" t="inlineStr">
        <is>
          <t>Task hours: original 150h + additions 58h + PostgreSQL 24h preliminary. Reserve 32h is separate; resource need is 264h, not committed team capacity.</t>
        </is>
      </c>
      <c r="H214" s="220" t="inlineStr">
        <is>
          <t>Task hours: original 150h + additions 58h + PostgreSQL 24h preliminary. Reserve 32h is separate; resource need is 264h, not committed team capacity.</t>
        </is>
      </c>
      <c r="I214" s="220" t="inlineStr">
        <is>
          <t>Task hours: original 150h + additions 58h + PostgreSQL 24h preliminary. Reserve 32h is separate; resource need is 264h, not committed team capacity.</t>
        </is>
      </c>
      <c r="J214" s="220" t="inlineStr">
        <is>
          <t>Task hours: original 150h + additions 58h + PostgreSQL 24h preliminary. Reserve 32h is separate; resource need is 264h, not committed team capacity.</t>
        </is>
      </c>
      <c r="K214" s="220" t="inlineStr">
        <is>
          <t>Task hours: original 150h + additions 58h + PostgreSQL 24h preliminary. Reserve 32h is separate; resource need is 264h, not committed team capacity.</t>
        </is>
      </c>
    </row>
    <row r="215" spans="2:3" ht="36" customHeight="1" ns3:dyDescent="0.3">
      <c r="B215" s="217" t="inlineStr">
        <is>
          <t>No baseline re-estimate is approved here. Record proposed additional hours/scope and rationale for team decision if the minimum DB slice exceeds 24h.</t>
        </is>
      </c>
      <c r="C215" s="217" t="inlineStr">
        <is>
          <t>No baseline re-estimate is approved here. Record proposed additional hours/scope and rationale for team decision if the minimum DB slice exceeds 24h.</t>
        </is>
      </c>
      <c r="D215" s="220" t="inlineStr">
        <is>
          <t>No baseline re-estimate is approved here. Record proposed additional hours/scope and rationale for team decision if the minimum DB slice exceeds 24h.</t>
        </is>
      </c>
      <c r="E215" s="220" t="inlineStr">
        <is>
          <t>No baseline re-estimate is approved here. Record proposed additional hours/scope and rationale for team decision if the minimum DB slice exceeds 24h.</t>
        </is>
      </c>
      <c r="F215" s="220" t="inlineStr">
        <is>
          <t>No baseline re-estimate is approved here. Record proposed additional hours/scope and rationale for team decision if the minimum DB slice exceeds 24h.</t>
        </is>
      </c>
      <c r="G215" s="220" t="inlineStr">
        <is>
          <t>No baseline re-estimate is approved here. Record proposed additional hours/scope and rationale for team decision if the minimum DB slice exceeds 24h.</t>
        </is>
      </c>
      <c r="H215" s="220" t="inlineStr">
        <is>
          <t>No baseline re-estimate is approved here. Record proposed additional hours/scope and rationale for team decision if the minimum DB slice exceeds 24h.</t>
        </is>
      </c>
      <c r="I215" s="220" t="inlineStr">
        <is>
          <t>No baseline re-estimate is approved here. Record proposed additional hours/scope and rationale for team decision if the minimum DB slice exceeds 24h.</t>
        </is>
      </c>
      <c r="J215" s="220" t="inlineStr">
        <is>
          <t>No baseline re-estimate is approved here. Record proposed additional hours/scope and rationale for team decision if the minimum DB slice exceeds 24h.</t>
        </is>
      </c>
      <c r="K215" s="220" t="inlineStr">
        <is>
          <t>No baseline re-estimate is approved here. Record proposed additional hours/scope and rationale for team decision if the minimum DB slice exceeds 24h.</t>
        </is>
      </c>
    </row>
    <row r="216" spans="2:3" ht="36" customHeight="1" ns3:dyDescent="0.3">
      <c r="B216" s="217" t="inlineStr">
        <is>
          <t>Do not infer completion from zero tracking values: these are the original workbook values. No new daily progress, actual effort or human approval is supplied.</t>
        </is>
      </c>
      <c r="C216" s="217" t="inlineStr">
        <is>
          <t>Do not infer completion from zero tracking values: these are the original workbook values. No new daily progress, actual effort or human approval is supplied.</t>
        </is>
      </c>
      <c r="D216" s="220" t="inlineStr">
        <is>
          <t>Do not infer completion from zero tracking values: these are the original workbook values. No new daily progress, actual effort or human approval is supplied.</t>
        </is>
      </c>
      <c r="E216" s="220" t="inlineStr">
        <is>
          <t>Do not infer completion from zero tracking values: these are the original workbook values. No new daily progress, actual effort or human approval is supplied.</t>
        </is>
      </c>
      <c r="F216" s="220" t="inlineStr">
        <is>
          <t>Do not infer completion from zero tracking values: these are the original workbook values. No new daily progress, actual effort or human approval is supplied.</t>
        </is>
      </c>
      <c r="G216" s="220" t="inlineStr">
        <is>
          <t>Do not infer completion from zero tracking values: these are the original workbook values. No new daily progress, actual effort or human approval is supplied.</t>
        </is>
      </c>
      <c r="H216" s="220" t="inlineStr">
        <is>
          <t>Do not infer completion from zero tracking values: these are the original workbook values. No new daily progress, actual effort or human approval is supplied.</t>
        </is>
      </c>
      <c r="I216" s="220" t="inlineStr">
        <is>
          <t>Do not infer completion from zero tracking values: these are the original workbook values. No new daily progress, actual effort or human approval is supplied.</t>
        </is>
      </c>
      <c r="J216" s="220" t="inlineStr">
        <is>
          <t>Do not infer completion from zero tracking values: these are the original workbook values. No new daily progress, actual effort or human approval is supplied.</t>
        </is>
      </c>
      <c r="K216" s="220" t="inlineStr">
        <is>
          <t>Do not infer completion from zero tracking values: these are the original workbook values. No new daily progress, actual effort or human approval is supplied.</t>
        </is>
      </c>
    </row>
    <row r="217" spans="2:3" ht="13.5" customHeight="1" ns3:dyDescent="0.3">
      <c r="B217" s="7"/>
      <c r="C217" s="8"/>
    </row>
    <row r="218" spans="2:3" ht="13.5" customHeight="1" ns3:dyDescent="0.3">
      <c r="B218" s="7"/>
      <c r="C218" s="8"/>
    </row>
    <row r="219" spans="2:3" ht="13.5" customHeight="1" ns3:dyDescent="0.3">
      <c r="B219" s="7"/>
      <c r="C219" s="8"/>
    </row>
    <row r="220" spans="2:3" ht="13.5" customHeight="1" ns3:dyDescent="0.3">
      <c r="B220" s="7"/>
      <c r="C220" s="8"/>
    </row>
    <row r="221" spans="2:3" ht="13.5" customHeight="1" ns3:dyDescent="0.3">
      <c r="B221" s="7"/>
      <c r="C221" s="8"/>
    </row>
    <row r="222" spans="2:3" ht="13.5" customHeight="1" ns3:dyDescent="0.3">
      <c r="B222" s="7"/>
      <c r="C222" s="8"/>
    </row>
    <row r="223" spans="2:3" ht="13.5" customHeight="1" ns3:dyDescent="0.3">
      <c r="B223" s="7"/>
      <c r="C223" s="8"/>
    </row>
    <row r="224" spans="2:3" ht="13.5" customHeight="1" ns3:dyDescent="0.3">
      <c r="B224" s="7"/>
      <c r="C224" s="8"/>
    </row>
    <row r="225" spans="2:3" ht="13.5" customHeight="1" ns3:dyDescent="0.3">
      <c r="B225" s="7"/>
      <c r="C225" s="8"/>
    </row>
    <row r="226" spans="2:3" ht="13.5" customHeight="1" ns3:dyDescent="0.3">
      <c r="B226" s="7"/>
      <c r="C226" s="8"/>
    </row>
    <row r="227" spans="2:3" ht="13.5" customHeight="1" ns3:dyDescent="0.3">
      <c r="B227" s="7"/>
      <c r="C227" s="8"/>
    </row>
    <row r="228" spans="2:3" ht="13.5" customHeight="1" ns3:dyDescent="0.3">
      <c r="B228" s="7"/>
      <c r="C228" s="8"/>
    </row>
    <row r="229" spans="2:3" ht="13.5" customHeight="1" ns3:dyDescent="0.3">
      <c r="B229" s="7"/>
      <c r="C229" s="8"/>
    </row>
    <row r="230" spans="2:3" ht="13.5" customHeight="1" ns3:dyDescent="0.3">
      <c r="B230" s="7"/>
      <c r="C230" s="8"/>
    </row>
    <row r="231" spans="2:3" ht="13.5" customHeight="1" ns3:dyDescent="0.3">
      <c r="B231" s="7"/>
      <c r="C231" s="8"/>
    </row>
    <row r="232" spans="2:3" ht="13.5" customHeight="1" ns3:dyDescent="0.3">
      <c r="B232" s="7"/>
      <c r="C232" s="8"/>
    </row>
    <row r="233" spans="2:3" ht="13.5" customHeight="1" ns3:dyDescent="0.3">
      <c r="B233" s="7"/>
      <c r="C233" s="8"/>
    </row>
    <row r="234" spans="2:3" ht="13.5" customHeight="1" ns3:dyDescent="0.3">
      <c r="B234" s="7"/>
      <c r="C234" s="8"/>
    </row>
    <row r="235" spans="2:3" ht="13.5" customHeight="1" ns3:dyDescent="0.3">
      <c r="B235" s="7"/>
      <c r="C235" s="8"/>
    </row>
    <row r="236" spans="2:3" ht="13.5" customHeight="1" ns3:dyDescent="0.3">
      <c r="B236" s="7"/>
      <c r="C236" s="8"/>
    </row>
    <row r="237" spans="2:3" ht="13.5" customHeight="1" ns3:dyDescent="0.3">
      <c r="B237" s="7"/>
      <c r="C237" s="8"/>
    </row>
    <row r="238" spans="2:3" ht="13.5" customHeight="1" ns3:dyDescent="0.3">
      <c r="B238" s="7"/>
      <c r="C238" s="8"/>
    </row>
    <row r="239" spans="2:3" ht="13.5" customHeight="1" ns3:dyDescent="0.3">
      <c r="B239" s="7"/>
      <c r="C239" s="8"/>
    </row>
    <row r="240" spans="2:3" ht="13.5" customHeight="1" ns3:dyDescent="0.3">
      <c r="B240" s="7"/>
      <c r="C240" s="8"/>
    </row>
    <row r="241" spans="2:3" ht="13.5" customHeight="1" ns3:dyDescent="0.3">
      <c r="B241" s="7"/>
      <c r="C241" s="8"/>
    </row>
    <row r="242" spans="2:3" ht="13.5" customHeight="1" ns3:dyDescent="0.3">
      <c r="B242" s="7"/>
      <c r="C242" s="8"/>
    </row>
    <row r="243" spans="2:3" ht="13.5" customHeight="1" ns3:dyDescent="0.3">
      <c r="B243" s="7"/>
      <c r="C243" s="8"/>
    </row>
    <row r="244" spans="2:3" ht="13.5" customHeight="1" ns3:dyDescent="0.3">
      <c r="B244" s="7"/>
      <c r="C244" s="8"/>
    </row>
    <row r="245" spans="2:3" ht="13.5" customHeight="1" ns3:dyDescent="0.3">
      <c r="B245" s="7"/>
      <c r="C245" s="8"/>
    </row>
    <row r="246" spans="2:3" ht="13.5" customHeight="1" ns3:dyDescent="0.3">
      <c r="B246" s="7"/>
      <c r="C246" s="8"/>
    </row>
    <row r="247" spans="2:3" ht="13.5" customHeight="1" ns3:dyDescent="0.3">
      <c r="B247" s="7"/>
      <c r="C247" s="8"/>
    </row>
    <row r="248" spans="2:3" ht="13.5" customHeight="1" ns3:dyDescent="0.3">
      <c r="B248" s="7"/>
      <c r="C248" s="8"/>
    </row>
    <row r="249" spans="2:3" ht="13.5" customHeight="1" ns3:dyDescent="0.3">
      <c r="B249" s="7"/>
      <c r="C249" s="8"/>
    </row>
    <row r="250" spans="2:3" ht="13.5" customHeight="1" ns3:dyDescent="0.3">
      <c r="B250" s="7"/>
      <c r="C250" s="8"/>
    </row>
    <row r="251" spans="2:3" ht="13.5" customHeight="1" ns3:dyDescent="0.3">
      <c r="B251" s="7"/>
      <c r="C251" s="8"/>
    </row>
    <row r="252" spans="2:3" ht="13.5" customHeight="1" ns3:dyDescent="0.3">
      <c r="B252" s="7"/>
      <c r="C252" s="8"/>
    </row>
    <row r="253" spans="2:3" ht="13.5" customHeight="1" ns3:dyDescent="0.3">
      <c r="B253" s="7"/>
      <c r="C253" s="8"/>
    </row>
    <row r="254" spans="2:3" ht="13.5" customHeight="1" ns3:dyDescent="0.3">
      <c r="B254" s="7"/>
      <c r="C254" s="8"/>
    </row>
    <row r="255" spans="2:3" ht="13.5" customHeight="1" ns3:dyDescent="0.3">
      <c r="B255" s="7"/>
      <c r="C255" s="8"/>
    </row>
    <row r="256" spans="2:3" ht="13.5" customHeight="1" ns3:dyDescent="0.3">
      <c r="B256" s="7"/>
      <c r="C256" s="8"/>
    </row>
    <row r="257" spans="2:3" ht="13.5" customHeight="1" ns3:dyDescent="0.3">
      <c r="B257" s="7"/>
      <c r="C257" s="8"/>
    </row>
    <row r="258" spans="2:3" ht="13.5" customHeight="1" ns3:dyDescent="0.3">
      <c r="B258" s="7"/>
      <c r="C258" s="8"/>
    </row>
    <row r="259" spans="2:3" ht="13.5" customHeight="1" ns3:dyDescent="0.3">
      <c r="B259" s="7"/>
      <c r="C259" s="8"/>
    </row>
    <row r="260" spans="2:3" ht="13.5" customHeight="1" ns3:dyDescent="0.3">
      <c r="B260" s="7"/>
      <c r="C260" s="8"/>
    </row>
    <row r="261" spans="2:3" ht="13.5" customHeight="1" ns3:dyDescent="0.3">
      <c r="B261" s="7"/>
      <c r="C261" s="8"/>
    </row>
    <row r="262" spans="2:3" ht="13.5" customHeight="1" ns3:dyDescent="0.3">
      <c r="B262" s="7"/>
      <c r="C262" s="8"/>
    </row>
    <row r="263" spans="2:3" ht="13.5" customHeight="1" ns3:dyDescent="0.3">
      <c r="B263" s="7"/>
      <c r="C263" s="8"/>
    </row>
    <row r="264" spans="2:3" ht="13.5" customHeight="1" ns3:dyDescent="0.3">
      <c r="B264" s="7"/>
      <c r="C264" s="8"/>
    </row>
    <row r="265" spans="2:3" ht="13.5" customHeight="1" ns3:dyDescent="0.3">
      <c r="B265" s="7"/>
      <c r="C265" s="8"/>
    </row>
    <row r="266" spans="2:3" ht="13.5" customHeight="1" ns3:dyDescent="0.3">
      <c r="B266" s="7"/>
      <c r="C266" s="8"/>
    </row>
    <row r="267" spans="2:3" ht="13.5" customHeight="1" ns3:dyDescent="0.3">
      <c r="B267" s="7"/>
      <c r="C267" s="8"/>
    </row>
    <row r="268" spans="2:3" ht="13.5" customHeight="1" ns3:dyDescent="0.3">
      <c r="B268" s="7"/>
      <c r="C268" s="8"/>
    </row>
    <row r="269" spans="2:3" ht="13.5" customHeight="1" ns3:dyDescent="0.3">
      <c r="B269" s="7"/>
      <c r="C269" s="8"/>
    </row>
    <row r="270" spans="2:3" ht="13.5" customHeight="1" ns3:dyDescent="0.3">
      <c r="B270" s="7"/>
      <c r="C270" s="8"/>
    </row>
    <row r="271" spans="2:3" ht="13.5" customHeight="1" ns3:dyDescent="0.3">
      <c r="B271" s="7"/>
      <c r="C271" s="8"/>
    </row>
    <row r="272" spans="2:3" ht="13.5" customHeight="1" ns3:dyDescent="0.3">
      <c r="B272" s="7"/>
      <c r="C272" s="8"/>
    </row>
    <row r="273" spans="2:3" ht="13.5" customHeight="1" ns3:dyDescent="0.3">
      <c r="B273" s="7"/>
      <c r="C273" s="8"/>
    </row>
    <row r="274" spans="2:3" ht="13.5" customHeight="1" ns3:dyDescent="0.3">
      <c r="B274" s="7"/>
      <c r="C274" s="8"/>
    </row>
    <row r="275" spans="2:3" ht="13.5" customHeight="1" ns3:dyDescent="0.3">
      <c r="B275" s="7"/>
      <c r="C275" s="8"/>
    </row>
    <row r="276" spans="2:3" ht="13.5" customHeight="1" ns3:dyDescent="0.3">
      <c r="B276" s="7"/>
      <c r="C276" s="8"/>
    </row>
    <row r="277" spans="2:3" ht="13.5" customHeight="1" ns3:dyDescent="0.3">
      <c r="B277" s="7"/>
      <c r="C277" s="8"/>
    </row>
    <row r="278" spans="2:3" ht="13.5" customHeight="1" ns3:dyDescent="0.3">
      <c r="B278" s="7"/>
      <c r="C278" s="8"/>
    </row>
    <row r="279" spans="2:3" ht="13.5" customHeight="1" ns3:dyDescent="0.3">
      <c r="B279" s="7"/>
      <c r="C279" s="8"/>
    </row>
    <row r="280" spans="2:3" ht="13.5" customHeight="1" ns3:dyDescent="0.3">
      <c r="B280" s="7"/>
      <c r="C280" s="8"/>
    </row>
    <row r="281" spans="2:3" ht="13.5" customHeight="1" ns3:dyDescent="0.3">
      <c r="B281" s="7"/>
      <c r="C281" s="8"/>
    </row>
    <row r="282" spans="2:3" ht="13.5" customHeight="1" ns3:dyDescent="0.3">
      <c r="B282" s="7"/>
      <c r="C282" s="8"/>
    </row>
    <row r="283" spans="2:3" ht="13.5" customHeight="1" ns3:dyDescent="0.3">
      <c r="B283" s="7"/>
      <c r="C283" s="8"/>
    </row>
    <row r="284" spans="2:3" ht="13.5" customHeight="1" ns3:dyDescent="0.3">
      <c r="B284" s="7"/>
      <c r="C284" s="8"/>
    </row>
    <row r="285" spans="2:3" ht="13.5" customHeight="1" ns3:dyDescent="0.3">
      <c r="B285" s="7"/>
      <c r="C285" s="8"/>
    </row>
    <row r="286" spans="2:3" ht="13.5" customHeight="1" ns3:dyDescent="0.3">
      <c r="B286" s="7"/>
      <c r="C286" s="8"/>
    </row>
    <row r="287" spans="2:3" ht="13.5" customHeight="1" ns3:dyDescent="0.3">
      <c r="B287" s="7"/>
      <c r="C287" s="8"/>
    </row>
    <row r="288" spans="2:3" ht="13.5" customHeight="1" ns3:dyDescent="0.3">
      <c r="B288" s="7"/>
      <c r="C288" s="8"/>
    </row>
    <row r="289" spans="2:3" ht="13.5" customHeight="1" ns3:dyDescent="0.3">
      <c r="B289" s="7"/>
      <c r="C289" s="8"/>
    </row>
    <row r="290" spans="2:3" ht="13.5" customHeight="1" ns3:dyDescent="0.3">
      <c r="B290" s="7"/>
      <c r="C290" s="8"/>
    </row>
    <row r="291" spans="2:3" ht="13.5" customHeight="1" ns3:dyDescent="0.3">
      <c r="B291" s="7"/>
      <c r="C291" s="8"/>
    </row>
    <row r="292" spans="2:3" ht="13.5" customHeight="1" ns3:dyDescent="0.3">
      <c r="B292" s="7"/>
      <c r="C292" s="8"/>
    </row>
    <row r="293" spans="2:3" ht="13.5" customHeight="1" ns3:dyDescent="0.3">
      <c r="B293" s="7"/>
      <c r="C293" s="8"/>
    </row>
    <row r="294" spans="2:3" ht="13.5" customHeight="1" ns3:dyDescent="0.3">
      <c r="B294" s="7"/>
      <c r="C294" s="8"/>
    </row>
    <row r="295" spans="2:3" ht="13.5" customHeight="1" ns3:dyDescent="0.3">
      <c r="B295" s="7"/>
      <c r="C295" s="8"/>
    </row>
    <row r="296" spans="2:3" ht="13.5" customHeight="1" ns3:dyDescent="0.3">
      <c r="B296" s="7"/>
      <c r="C296" s="8"/>
    </row>
    <row r="297" spans="2:3" ht="13.5" customHeight="1" ns3:dyDescent="0.3">
      <c r="B297" s="7"/>
      <c r="C297" s="8"/>
    </row>
    <row r="298" spans="2:3" ht="13.5" customHeight="1" ns3:dyDescent="0.3">
      <c r="B298" s="7"/>
      <c r="C298" s="8"/>
    </row>
    <row r="299" spans="2:3" ht="13.5" customHeight="1" ns3:dyDescent="0.3">
      <c r="B299" s="7"/>
      <c r="C299" s="8"/>
    </row>
    <row r="300" spans="2:3" ht="13.5" customHeight="1" ns3:dyDescent="0.3">
      <c r="B300" s="7"/>
      <c r="C300" s="8"/>
    </row>
    <row r="301" spans="2:3" ht="13.5" customHeight="1" ns3:dyDescent="0.3">
      <c r="B301" s="7"/>
      <c r="C301" s="8"/>
    </row>
    <row r="302" spans="2:3" ht="13.5" customHeight="1" ns3:dyDescent="0.3">
      <c r="B302" s="7"/>
      <c r="C302" s="8"/>
    </row>
    <row r="303" spans="2:3" ht="13.5" customHeight="1" ns3:dyDescent="0.3">
      <c r="B303" s="7"/>
      <c r="C303" s="8"/>
    </row>
    <row r="304" spans="2:3" ht="13.5" customHeight="1" ns3:dyDescent="0.3">
      <c r="B304" s="7"/>
      <c r="C304" s="8"/>
    </row>
    <row r="305" spans="2:3" ht="13.5" customHeight="1" ns3:dyDescent="0.3">
      <c r="B305" s="7"/>
      <c r="C305" s="8"/>
    </row>
    <row r="306" spans="2:3" ht="13.5" customHeight="1" ns3:dyDescent="0.3">
      <c r="B306" s="7"/>
      <c r="C306" s="8"/>
    </row>
    <row r="307" spans="2:3" ht="13.5" customHeight="1" ns3:dyDescent="0.3">
      <c r="B307" s="7"/>
      <c r="C307" s="8"/>
    </row>
    <row r="308" spans="2:3" ht="13.5" customHeight="1" ns3:dyDescent="0.3">
      <c r="B308" s="7"/>
      <c r="C308" s="8"/>
    </row>
    <row r="309" spans="2:3" ht="13.5" customHeight="1" ns3:dyDescent="0.3">
      <c r="B309" s="7"/>
      <c r="C309" s="8"/>
    </row>
    <row r="310" spans="2:3" ht="13.5" customHeight="1" ns3:dyDescent="0.3">
      <c r="B310" s="7"/>
      <c r="C310" s="8"/>
    </row>
    <row r="311" spans="2:3" ht="13.5" customHeight="1" ns3:dyDescent="0.3">
      <c r="B311" s="7"/>
      <c r="C311" s="8"/>
    </row>
    <row r="312" spans="2:3" ht="13.5" customHeight="1" ns3:dyDescent="0.3">
      <c r="B312" s="7"/>
      <c r="C312" s="8"/>
    </row>
    <row r="313" spans="2:3" ht="13.5" customHeight="1" ns3:dyDescent="0.3">
      <c r="B313" s="7"/>
      <c r="C313" s="8"/>
    </row>
    <row r="314" spans="2:3" ht="13.5" customHeight="1" ns3:dyDescent="0.3">
      <c r="B314" s="7"/>
      <c r="C314" s="8"/>
    </row>
    <row r="315" spans="2:3" ht="13.5" customHeight="1" ns3:dyDescent="0.3">
      <c r="B315" s="7"/>
      <c r="C315" s="8"/>
    </row>
    <row r="316" spans="2:3" ht="13.5" customHeight="1" ns3:dyDescent="0.3">
      <c r="B316" s="7"/>
      <c r="C316" s="8"/>
    </row>
    <row r="317" spans="2:3" ht="13.5" customHeight="1" ns3:dyDescent="0.3">
      <c r="B317" s="7"/>
      <c r="C317" s="8"/>
    </row>
    <row r="318" spans="2:3" ht="13.5" customHeight="1" ns3:dyDescent="0.3">
      <c r="B318" s="7"/>
      <c r="C318" s="8"/>
    </row>
    <row r="319" spans="2:3" ht="13.5" customHeight="1" ns3:dyDescent="0.3">
      <c r="B319" s="7"/>
      <c r="C319" s="8"/>
    </row>
    <row r="320" spans="2:3" ht="13.5" customHeight="1" ns3:dyDescent="0.3">
      <c r="B320" s="7"/>
      <c r="C320" s="8"/>
    </row>
    <row r="321" spans="2:3" ht="13.5" customHeight="1" ns3:dyDescent="0.3">
      <c r="B321" s="7"/>
      <c r="C321" s="8"/>
    </row>
    <row r="322" spans="2:3" ht="13.5" customHeight="1" ns3:dyDescent="0.3">
      <c r="B322" s="7"/>
      <c r="C322" s="8"/>
    </row>
    <row r="323" spans="2:3" ht="13.5" customHeight="1" ns3:dyDescent="0.3">
      <c r="B323" s="7"/>
      <c r="C323" s="8"/>
    </row>
    <row r="324" spans="2:3" ht="13.5" customHeight="1" ns3:dyDescent="0.3">
      <c r="B324" s="7"/>
      <c r="C324" s="8"/>
    </row>
    <row r="325" spans="2:3" ht="13.5" customHeight="1" ns3:dyDescent="0.3">
      <c r="B325" s="7"/>
      <c r="C325" s="8"/>
    </row>
    <row r="326" spans="2:3" ht="13.5" customHeight="1" ns3:dyDescent="0.3">
      <c r="B326" s="7"/>
      <c r="C326" s="8"/>
    </row>
    <row r="327" spans="2:3" ht="13.5" customHeight="1" ns3:dyDescent="0.3">
      <c r="B327" s="7"/>
      <c r="C327" s="8"/>
    </row>
    <row r="328" spans="2:3" ht="13.5" customHeight="1" ns3:dyDescent="0.3">
      <c r="B328" s="7"/>
      <c r="C328" s="8"/>
    </row>
    <row r="329" spans="2:3" ht="13.5" customHeight="1" ns3:dyDescent="0.3">
      <c r="B329" s="7"/>
      <c r="C329" s="8"/>
    </row>
    <row r="330" spans="2:3" ht="13.5" customHeight="1" ns3:dyDescent="0.3">
      <c r="B330" s="7"/>
      <c r="C330" s="8"/>
    </row>
    <row r="331" spans="2:3" ht="13.5" customHeight="1" ns3:dyDescent="0.3">
      <c r="B331" s="7"/>
      <c r="C331" s="8"/>
    </row>
    <row r="332" spans="2:3" ht="13.5" customHeight="1" ns3:dyDescent="0.3">
      <c r="B332" s="7"/>
      <c r="C332" s="8"/>
    </row>
    <row r="333" spans="2:3" ht="13.5" customHeight="1" ns3:dyDescent="0.3">
      <c r="B333" s="7"/>
      <c r="C333" s="8"/>
    </row>
    <row r="334" spans="2:3" ht="13.5" customHeight="1" ns3:dyDescent="0.3">
      <c r="B334" s="7"/>
      <c r="C334" s="8"/>
    </row>
    <row r="335" spans="2:3" ht="13.5" customHeight="1" ns3:dyDescent="0.3">
      <c r="B335" s="7"/>
      <c r="C335" s="8"/>
    </row>
    <row r="336" spans="2:3" ht="13.5" customHeight="1" ns3:dyDescent="0.3">
      <c r="B336" s="7"/>
      <c r="C336" s="8"/>
    </row>
    <row r="337" spans="2:3" ht="13.5" customHeight="1" ns3:dyDescent="0.3">
      <c r="B337" s="7"/>
      <c r="C337" s="8"/>
    </row>
    <row r="338" spans="2:3" ht="13.5" customHeight="1" ns3:dyDescent="0.3">
      <c r="B338" s="7"/>
      <c r="C338" s="8"/>
    </row>
    <row r="339" spans="2:3" ht="13.5" customHeight="1" ns3:dyDescent="0.3">
      <c r="B339" s="7"/>
      <c r="C339" s="8"/>
    </row>
    <row r="340" spans="2:3" ht="13.5" customHeight="1" ns3:dyDescent="0.3">
      <c r="B340" s="7"/>
      <c r="C340" s="8"/>
    </row>
    <row r="341" spans="2:3" ht="13.5" customHeight="1" ns3:dyDescent="0.3">
      <c r="B341" s="7"/>
      <c r="C341" s="8"/>
    </row>
    <row r="342" spans="2:3" ht="13.5" customHeight="1" ns3:dyDescent="0.3">
      <c r="B342" s="7"/>
      <c r="C342" s="8"/>
    </row>
    <row r="343" spans="2:3" ht="13.5" customHeight="1" ns3:dyDescent="0.3">
      <c r="B343" s="7"/>
      <c r="C343" s="8"/>
    </row>
    <row r="344" spans="2:3" ht="13.5" customHeight="1" ns3:dyDescent="0.3">
      <c r="B344" s="7"/>
      <c r="C344" s="8"/>
    </row>
    <row r="345" spans="2:3" ht="13.5" customHeight="1" ns3:dyDescent="0.3">
      <c r="B345" s="7"/>
      <c r="C345" s="8"/>
    </row>
    <row r="346" spans="2:3" ht="13.5" customHeight="1" ns3:dyDescent="0.3">
      <c r="B346" s="7"/>
      <c r="C346" s="8"/>
    </row>
    <row r="347" spans="2:3" ht="13.5" customHeight="1" ns3:dyDescent="0.3">
      <c r="B347" s="7"/>
      <c r="C347" s="8"/>
    </row>
    <row r="348" spans="2:3" ht="13.5" customHeight="1" ns3:dyDescent="0.3">
      <c r="B348" s="7"/>
      <c r="C348" s="8"/>
    </row>
    <row r="349" spans="2:3" ht="13.5" customHeight="1" ns3:dyDescent="0.3">
      <c r="B349" s="7"/>
      <c r="C349" s="8"/>
    </row>
    <row r="350" spans="2:3" ht="13.5" customHeight="1" ns3:dyDescent="0.3">
      <c r="B350" s="7"/>
      <c r="C350" s="8"/>
    </row>
    <row r="351" spans="2:3" ht="13.5" customHeight="1" ns3:dyDescent="0.3">
      <c r="B351" s="7"/>
      <c r="C351" s="8"/>
    </row>
    <row r="352" spans="2:3" ht="13.5" customHeight="1" ns3:dyDescent="0.3">
      <c r="B352" s="7"/>
      <c r="C352" s="8"/>
    </row>
    <row r="353" spans="2:3" ht="13.5" customHeight="1" ns3:dyDescent="0.3">
      <c r="B353" s="7"/>
      <c r="C353" s="8"/>
    </row>
    <row r="354" spans="2:3" ht="13.5" customHeight="1" ns3:dyDescent="0.3">
      <c r="B354" s="7"/>
      <c r="C354" s="8"/>
    </row>
    <row r="355" spans="2:3" ht="13.5" customHeight="1" ns3:dyDescent="0.3">
      <c r="B355" s="7"/>
      <c r="C355" s="8"/>
    </row>
    <row r="356" spans="2:3" ht="13.5" customHeight="1" ns3:dyDescent="0.3">
      <c r="B356" s="7"/>
      <c r="C356" s="8"/>
    </row>
    <row r="357" spans="2:3" ht="13.5" customHeight="1" ns3:dyDescent="0.3">
      <c r="B357" s="7"/>
      <c r="C357" s="8"/>
    </row>
    <row r="358" spans="2:3" ht="13.5" customHeight="1" ns3:dyDescent="0.3">
      <c r="B358" s="7"/>
      <c r="C358" s="8"/>
    </row>
    <row r="359" spans="2:3" ht="13.5" customHeight="1" ns3:dyDescent="0.3">
      <c r="B359" s="7"/>
      <c r="C359" s="8"/>
    </row>
    <row r="360" spans="2:3" ht="13.5" customHeight="1" ns3:dyDescent="0.3">
      <c r="B360" s="7"/>
      <c r="C360" s="8"/>
    </row>
    <row r="361" spans="2:3" ht="13.5" customHeight="1" ns3:dyDescent="0.3">
      <c r="B361" s="7"/>
      <c r="C361" s="8"/>
    </row>
    <row r="362" spans="2:3" ht="13.5" customHeight="1" ns3:dyDescent="0.3">
      <c r="B362" s="7"/>
      <c r="C362" s="8"/>
    </row>
    <row r="363" spans="2:3" ht="13.5" customHeight="1" ns3:dyDescent="0.3">
      <c r="B363" s="7"/>
      <c r="C363" s="8"/>
    </row>
    <row r="364" spans="2:3" ht="13.5" customHeight="1" ns3:dyDescent="0.3">
      <c r="B364" s="7"/>
      <c r="C364" s="8"/>
    </row>
    <row r="365" spans="2:3" ht="13.5" customHeight="1" ns3:dyDescent="0.3">
      <c r="B365" s="7"/>
      <c r="C365" s="8"/>
    </row>
    <row r="366" spans="2:3" ht="13.5" customHeight="1" ns3:dyDescent="0.3">
      <c r="B366" s="7"/>
      <c r="C366" s="8"/>
    </row>
    <row r="367" spans="2:3" ht="13.5" customHeight="1" ns3:dyDescent="0.3">
      <c r="B367" s="7"/>
      <c r="C367" s="8"/>
    </row>
    <row r="368" spans="2:3" ht="13.5" customHeight="1" ns3:dyDescent="0.3">
      <c r="B368" s="7"/>
      <c r="C368" s="8"/>
    </row>
    <row r="369" spans="2:3" ht="13.5" customHeight="1" ns3:dyDescent="0.3">
      <c r="B369" s="7"/>
      <c r="C369" s="8"/>
    </row>
    <row r="370" spans="2:3" ht="13.5" customHeight="1" ns3:dyDescent="0.3">
      <c r="B370" s="7"/>
      <c r="C370" s="8"/>
    </row>
    <row r="371" spans="2:3" ht="13.5" customHeight="1" ns3:dyDescent="0.3">
      <c r="B371" s="7"/>
      <c r="C371" s="8"/>
    </row>
    <row r="372" spans="2:3" ht="13.5" customHeight="1" ns3:dyDescent="0.3">
      <c r="B372" s="7"/>
      <c r="C372" s="8"/>
    </row>
    <row r="373" spans="2:3" ht="13.5" customHeight="1" ns3:dyDescent="0.3">
      <c r="B373" s="7"/>
      <c r="C373" s="8"/>
    </row>
    <row r="374" spans="2:3" ht="13.5" customHeight="1" ns3:dyDescent="0.3">
      <c r="B374" s="7"/>
      <c r="C374" s="8"/>
    </row>
    <row r="375" spans="2:3" ht="13.5" customHeight="1" ns3:dyDescent="0.3">
      <c r="B375" s="7"/>
      <c r="C375" s="8"/>
    </row>
    <row r="376" spans="2:3" ht="13.5" customHeight="1" ns3:dyDescent="0.3">
      <c r="B376" s="7"/>
      <c r="C376" s="8"/>
    </row>
    <row r="377" spans="2:3" ht="13.5" customHeight="1" ns3:dyDescent="0.3">
      <c r="B377" s="7"/>
      <c r="C377" s="8"/>
    </row>
    <row r="378" spans="2:3" ht="13.5" customHeight="1" ns3:dyDescent="0.3">
      <c r="B378" s="7"/>
      <c r="C378" s="8"/>
    </row>
    <row r="379" spans="2:3" ht="13.5" customHeight="1" ns3:dyDescent="0.3">
      <c r="B379" s="7"/>
      <c r="C379" s="8"/>
    </row>
    <row r="380" spans="2:3" ht="13.5" customHeight="1" ns3:dyDescent="0.3">
      <c r="B380" s="7"/>
      <c r="C380" s="8"/>
    </row>
    <row r="381" spans="2:3" ht="13.5" customHeight="1" ns3:dyDescent="0.3">
      <c r="B381" s="7"/>
      <c r="C381" s="8"/>
    </row>
    <row r="382" spans="2:3" ht="13.5" customHeight="1" ns3:dyDescent="0.3">
      <c r="B382" s="7"/>
      <c r="C382" s="8"/>
    </row>
    <row r="383" spans="2:3" ht="13.5" customHeight="1" ns3:dyDescent="0.3">
      <c r="B383" s="7"/>
      <c r="C383" s="8"/>
    </row>
    <row r="384" spans="2:3" ht="13.5" customHeight="1" ns3:dyDescent="0.3">
      <c r="B384" s="7"/>
      <c r="C384" s="8"/>
    </row>
    <row r="385" spans="2:3" ht="13.5" customHeight="1" ns3:dyDescent="0.3">
      <c r="B385" s="7"/>
      <c r="C385" s="8"/>
    </row>
    <row r="386" spans="2:3" ht="13.5" customHeight="1" ns3:dyDescent="0.3">
      <c r="B386" s="7"/>
      <c r="C386" s="8"/>
    </row>
    <row r="387" spans="2:3" ht="13.5" customHeight="1" ns3:dyDescent="0.3">
      <c r="B387" s="7"/>
      <c r="C387" s="8"/>
    </row>
    <row r="388" spans="2:3" ht="13.5" customHeight="1" ns3:dyDescent="0.3">
      <c r="B388" s="7"/>
      <c r="C388" s="8"/>
    </row>
    <row r="389" spans="2:3" ht="13.5" customHeight="1" ns3:dyDescent="0.3">
      <c r="B389" s="7"/>
      <c r="C389" s="8"/>
    </row>
    <row r="390" spans="2:3" ht="13.5" customHeight="1" ns3:dyDescent="0.3">
      <c r="B390" s="7"/>
      <c r="C390" s="8"/>
    </row>
    <row r="391" spans="2:3" ht="13.5" customHeight="1" ns3:dyDescent="0.3">
      <c r="B391" s="7"/>
      <c r="C391" s="8"/>
    </row>
    <row r="392" spans="2:3" ht="13.5" customHeight="1" ns3:dyDescent="0.3">
      <c r="B392" s="7"/>
      <c r="C392" s="8"/>
    </row>
    <row r="393" spans="2:3" ht="13.5" customHeight="1" ns3:dyDescent="0.3">
      <c r="B393" s="7"/>
      <c r="C393" s="8"/>
    </row>
    <row r="394" spans="2:3" ht="13.5" customHeight="1" ns3:dyDescent="0.3">
      <c r="B394" s="7"/>
      <c r="C394" s="8"/>
    </row>
    <row r="395" spans="2:3" ht="13.5" customHeight="1" ns3:dyDescent="0.3">
      <c r="B395" s="7"/>
      <c r="C395" s="8"/>
    </row>
    <row r="396" spans="2:3" ht="13.5" customHeight="1" ns3:dyDescent="0.3">
      <c r="B396" s="7"/>
      <c r="C396" s="8"/>
    </row>
    <row r="397" spans="2:3" ht="13.5" customHeight="1" ns3:dyDescent="0.3">
      <c r="B397" s="7"/>
      <c r="C397" s="8"/>
    </row>
    <row r="398" spans="2:3" ht="13.5" customHeight="1" ns3:dyDescent="0.3">
      <c r="B398" s="7"/>
      <c r="C398" s="8"/>
    </row>
    <row r="399" spans="2:3" ht="13.5" customHeight="1" ns3:dyDescent="0.3">
      <c r="B399" s="7"/>
      <c r="C399" s="8"/>
    </row>
    <row r="400" spans="2:3" ht="13.5" customHeight="1" ns3:dyDescent="0.3">
      <c r="B400" s="7"/>
      <c r="C400" s="8"/>
    </row>
    <row r="401" spans="2:3" ht="13.5" customHeight="1" ns3:dyDescent="0.3">
      <c r="B401" s="7"/>
      <c r="C401" s="8"/>
    </row>
    <row r="402" spans="2:3" ht="13.5" customHeight="1" ns3:dyDescent="0.3">
      <c r="B402" s="7"/>
      <c r="C402" s="8"/>
    </row>
    <row r="403" spans="2:3" ht="13.5" customHeight="1" ns3:dyDescent="0.3">
      <c r="B403" s="7"/>
      <c r="C403" s="8"/>
    </row>
    <row r="404" spans="2:3" ht="13.5" customHeight="1" ns3:dyDescent="0.3">
      <c r="B404" s="7"/>
      <c r="C404" s="8"/>
    </row>
    <row r="405" spans="2:3" ht="13.5" customHeight="1" ns3:dyDescent="0.3">
      <c r="B405" s="7"/>
      <c r="C405" s="8"/>
    </row>
    <row r="406" spans="2:3" ht="13.5" customHeight="1" ns3:dyDescent="0.3">
      <c r="B406" s="7"/>
      <c r="C406" s="8"/>
    </row>
    <row r="407" spans="2:3" ht="13.5" customHeight="1" ns3:dyDescent="0.3">
      <c r="B407" s="7"/>
      <c r="C407" s="8"/>
    </row>
    <row r="408" spans="2:3" ht="13.5" customHeight="1" ns3:dyDescent="0.3">
      <c r="B408" s="7"/>
      <c r="C408" s="8"/>
    </row>
    <row r="409" spans="2:3" ht="13.5" customHeight="1" ns3:dyDescent="0.3">
      <c r="B409" s="7"/>
      <c r="C409" s="8"/>
    </row>
    <row r="410" spans="2:3" ht="13.5" customHeight="1" ns3:dyDescent="0.3">
      <c r="B410" s="7"/>
      <c r="C410" s="8"/>
    </row>
    <row r="411" spans="2:3" ht="13.5" customHeight="1" ns3:dyDescent="0.3">
      <c r="B411" s="7"/>
      <c r="C411" s="8"/>
    </row>
    <row r="412" spans="2:3" ht="13.5" customHeight="1" ns3:dyDescent="0.3">
      <c r="B412" s="7"/>
      <c r="C412" s="8"/>
    </row>
    <row r="413" spans="2:3" ht="13.5" customHeight="1" ns3:dyDescent="0.3">
      <c r="B413" s="7"/>
      <c r="C413" s="8"/>
    </row>
    <row r="414" spans="2:3" ht="13.5" customHeight="1" ns3:dyDescent="0.3">
      <c r="B414" s="7"/>
      <c r="C414" s="8"/>
    </row>
    <row r="415" spans="2:3" ht="13.5" customHeight="1" ns3:dyDescent="0.3">
      <c r="B415" s="7"/>
      <c r="C415" s="8"/>
    </row>
    <row r="416" spans="2:3" ht="13.5" customHeight="1" ns3:dyDescent="0.3">
      <c r="B416" s="7"/>
      <c r="C416" s="8"/>
    </row>
    <row r="417" spans="2:3" ht="13.5" customHeight="1" ns3:dyDescent="0.3">
      <c r="B417" s="7"/>
      <c r="C417" s="8"/>
    </row>
    <row r="418" spans="2:3" ht="13.5" customHeight="1" ns3:dyDescent="0.3">
      <c r="B418" s="7"/>
      <c r="C418" s="8"/>
    </row>
    <row r="419" spans="2:3" ht="13.5" customHeight="1" ns3:dyDescent="0.3">
      <c r="B419" s="7"/>
      <c r="C419" s="8"/>
    </row>
    <row r="420" spans="2:3" ht="13.5" customHeight="1" ns3:dyDescent="0.3">
      <c r="B420" s="7"/>
      <c r="C420" s="8"/>
    </row>
    <row r="421" spans="2:3" ht="13.5" customHeight="1" ns3:dyDescent="0.3">
      <c r="B421" s="7"/>
      <c r="C421" s="8"/>
    </row>
    <row r="422" spans="2:3" ht="13.5" customHeight="1" ns3:dyDescent="0.3">
      <c r="B422" s="7"/>
      <c r="C422" s="8"/>
    </row>
    <row r="423" spans="2:3" ht="13.5" customHeight="1" ns3:dyDescent="0.3">
      <c r="B423" s="7"/>
      <c r="C423" s="8"/>
    </row>
    <row r="424" spans="2:3" ht="13.5" customHeight="1" ns3:dyDescent="0.3">
      <c r="B424" s="7"/>
      <c r="C424" s="8"/>
    </row>
    <row r="425" spans="2:3" ht="13.5" customHeight="1" ns3:dyDescent="0.3">
      <c r="B425" s="7"/>
      <c r="C425" s="8"/>
    </row>
    <row r="426" spans="2:3" ht="13.5" customHeight="1" ns3:dyDescent="0.3">
      <c r="B426" s="7"/>
      <c r="C426" s="8"/>
    </row>
    <row r="427" spans="2:3" ht="13.5" customHeight="1" ns3:dyDescent="0.3">
      <c r="B427" s="7"/>
      <c r="C427" s="8"/>
    </row>
    <row r="428" spans="2:3" ht="13.5" customHeight="1" ns3:dyDescent="0.3">
      <c r="B428" s="7"/>
      <c r="C428" s="8"/>
    </row>
    <row r="429" spans="2:3" ht="13.5" customHeight="1" ns3:dyDescent="0.3">
      <c r="B429" s="7"/>
      <c r="C429" s="8"/>
    </row>
    <row r="430" spans="2:3" ht="13.5" customHeight="1" ns3:dyDescent="0.3">
      <c r="B430" s="7"/>
      <c r="C430" s="8"/>
    </row>
    <row r="431" spans="2:3" ht="13.5" customHeight="1" ns3:dyDescent="0.3">
      <c r="B431" s="7"/>
      <c r="C431" s="8"/>
    </row>
    <row r="432" spans="2:3" ht="13.5" customHeight="1" ns3:dyDescent="0.3">
      <c r="B432" s="7"/>
      <c r="C432" s="8"/>
    </row>
    <row r="433" spans="2:3" ht="13.5" customHeight="1" ns3:dyDescent="0.3">
      <c r="B433" s="7"/>
      <c r="C433" s="8"/>
    </row>
    <row r="434" spans="2:3" ht="13.5" customHeight="1" ns3:dyDescent="0.3">
      <c r="B434" s="7"/>
      <c r="C434" s="8"/>
    </row>
    <row r="435" spans="2:3" ht="13.5" customHeight="1" ns3:dyDescent="0.3">
      <c r="B435" s="7"/>
      <c r="C435" s="8"/>
    </row>
    <row r="436" spans="2:3" ht="13.5" customHeight="1" ns3:dyDescent="0.3">
      <c r="B436" s="7"/>
      <c r="C436" s="8"/>
    </row>
    <row r="437" spans="2:3" ht="13.5" customHeight="1" ns3:dyDescent="0.3">
      <c r="B437" s="7"/>
      <c r="C437" s="8"/>
    </row>
    <row r="438" spans="2:3" ht="13.5" customHeight="1" ns3:dyDescent="0.3">
      <c r="B438" s="7"/>
      <c r="C438" s="8"/>
    </row>
    <row r="439" spans="2:3" ht="13.5" customHeight="1" ns3:dyDescent="0.3">
      <c r="B439" s="7"/>
      <c r="C439" s="8"/>
    </row>
    <row r="440" spans="2:3" ht="13.5" customHeight="1" ns3:dyDescent="0.3">
      <c r="B440" s="7"/>
      <c r="C440" s="8"/>
    </row>
    <row r="441" spans="2:3" ht="13.5" customHeight="1" ns3:dyDescent="0.3">
      <c r="B441" s="7"/>
      <c r="C441" s="8"/>
    </row>
    <row r="442" spans="2:3" ht="13.5" customHeight="1" ns3:dyDescent="0.3">
      <c r="B442" s="7"/>
      <c r="C442" s="8"/>
    </row>
    <row r="443" spans="2:3" ht="13.5" customHeight="1" ns3:dyDescent="0.3">
      <c r="B443" s="7"/>
      <c r="C443" s="8"/>
    </row>
    <row r="444" spans="2:3" ht="13.5" customHeight="1" ns3:dyDescent="0.3">
      <c r="B444" s="7"/>
      <c r="C444" s="8"/>
    </row>
    <row r="445" spans="2:3" ht="13.5" customHeight="1" ns3:dyDescent="0.3">
      <c r="B445" s="7"/>
      <c r="C445" s="8"/>
    </row>
    <row r="446" spans="2:3" ht="13.5" customHeight="1" ns3:dyDescent="0.3">
      <c r="B446" s="7"/>
      <c r="C446" s="8"/>
    </row>
    <row r="447" spans="2:3" ht="13.5" customHeight="1" ns3:dyDescent="0.3">
      <c r="B447" s="7"/>
      <c r="C447" s="8"/>
    </row>
    <row r="448" spans="2:3" ht="13.5" customHeight="1" ns3:dyDescent="0.3">
      <c r="B448" s="7"/>
      <c r="C448" s="8"/>
    </row>
    <row r="449" spans="2:3" ht="13.5" customHeight="1" ns3:dyDescent="0.3">
      <c r="B449" s="7"/>
      <c r="C449" s="8"/>
    </row>
    <row r="450" spans="2:3" ht="13.5" customHeight="1" ns3:dyDescent="0.3">
      <c r="B450" s="7"/>
      <c r="C450" s="8"/>
    </row>
    <row r="451" spans="2:3" ht="13.5" customHeight="1" ns3:dyDescent="0.3">
      <c r="B451" s="7"/>
      <c r="C451" s="8"/>
    </row>
    <row r="452" spans="2:3" ht="13.5" customHeight="1" ns3:dyDescent="0.3">
      <c r="B452" s="7"/>
      <c r="C452" s="8"/>
    </row>
    <row r="453" spans="2:3" ht="13.5" customHeight="1" ns3:dyDescent="0.3">
      <c r="B453" s="7"/>
      <c r="C453" s="8"/>
    </row>
    <row r="454" spans="2:3" ht="13.5" customHeight="1" ns3:dyDescent="0.3">
      <c r="B454" s="7"/>
      <c r="C454" s="8"/>
    </row>
    <row r="455" spans="2:3" ht="13.5" customHeight="1" ns3:dyDescent="0.3">
      <c r="B455" s="7"/>
      <c r="C455" s="8"/>
    </row>
    <row r="456" spans="2:3" ht="13.5" customHeight="1" ns3:dyDescent="0.3">
      <c r="B456" s="7"/>
      <c r="C456" s="8"/>
    </row>
    <row r="457" spans="2:3" ht="13.5" customHeight="1" ns3:dyDescent="0.3">
      <c r="B457" s="7"/>
      <c r="C457" s="8"/>
    </row>
    <row r="458" spans="2:3" ht="13.5" customHeight="1" ns3:dyDescent="0.3">
      <c r="B458" s="7"/>
      <c r="C458" s="8"/>
    </row>
    <row r="459" spans="2:3" ht="13.5" customHeight="1" ns3:dyDescent="0.3">
      <c r="B459" s="7"/>
      <c r="C459" s="8"/>
    </row>
    <row r="460" spans="2:3" ht="13.5" customHeight="1" ns3:dyDescent="0.3">
      <c r="B460" s="7"/>
      <c r="C460" s="8"/>
    </row>
    <row r="461" spans="2:3" ht="13.5" customHeight="1" ns3:dyDescent="0.3">
      <c r="B461" s="7"/>
      <c r="C461" s="8"/>
    </row>
    <row r="462" spans="2:3" ht="13.5" customHeight="1" ns3:dyDescent="0.3">
      <c r="B462" s="7"/>
      <c r="C462" s="8"/>
    </row>
    <row r="463" spans="2:3" ht="13.5" customHeight="1" ns3:dyDescent="0.3">
      <c r="B463" s="7"/>
      <c r="C463" s="8"/>
    </row>
    <row r="464" spans="2:3" ht="13.5" customHeight="1" ns3:dyDescent="0.3">
      <c r="B464" s="7"/>
      <c r="C464" s="8"/>
    </row>
    <row r="465" spans="2:3" ht="13.5" customHeight="1" ns3:dyDescent="0.3">
      <c r="B465" s="7"/>
      <c r="C465" s="8"/>
    </row>
    <row r="466" spans="2:3" ht="13.5" customHeight="1" ns3:dyDescent="0.3">
      <c r="B466" s="7"/>
      <c r="C466" s="8"/>
    </row>
    <row r="467" spans="2:3" ht="13.5" customHeight="1" ns3:dyDescent="0.3">
      <c r="B467" s="7"/>
      <c r="C467" s="8"/>
    </row>
    <row r="468" spans="2:3" ht="13.5" customHeight="1" ns3:dyDescent="0.3">
      <c r="B468" s="7"/>
      <c r="C468" s="8"/>
    </row>
    <row r="469" spans="2:3" ht="13.5" customHeight="1" ns3:dyDescent="0.3">
      <c r="B469" s="7"/>
      <c r="C469" s="8"/>
    </row>
    <row r="470" spans="2:3" ht="13.5" customHeight="1" ns3:dyDescent="0.3">
      <c r="B470" s="7"/>
      <c r="C470" s="8"/>
    </row>
    <row r="471" spans="2:3" ht="13.5" customHeight="1" ns3:dyDescent="0.3">
      <c r="B471" s="7"/>
      <c r="C471" s="8"/>
    </row>
    <row r="472" spans="2:3" ht="13.5" customHeight="1" ns3:dyDescent="0.3">
      <c r="B472" s="7"/>
      <c r="C472" s="8"/>
    </row>
    <row r="473" spans="2:3" ht="13.5" customHeight="1" ns3:dyDescent="0.3">
      <c r="B473" s="7"/>
      <c r="C473" s="8"/>
    </row>
    <row r="474" spans="2:3" ht="13.5" customHeight="1" ns3:dyDescent="0.3">
      <c r="B474" s="7"/>
      <c r="C474" s="8"/>
    </row>
    <row r="475" spans="2:3" ht="13.5" customHeight="1" ns3:dyDescent="0.3">
      <c r="B475" s="7"/>
      <c r="C475" s="8"/>
    </row>
    <row r="476" spans="2:3" ht="13.5" customHeight="1" ns3:dyDescent="0.3">
      <c r="B476" s="7"/>
      <c r="C476" s="8"/>
    </row>
    <row r="477" spans="2:3" ht="13.5" customHeight="1" ns3:dyDescent="0.3">
      <c r="B477" s="7"/>
      <c r="C477" s="8"/>
    </row>
    <row r="478" spans="2:3" ht="13.5" customHeight="1" ns3:dyDescent="0.3">
      <c r="B478" s="7"/>
      <c r="C478" s="8"/>
    </row>
    <row r="479" spans="2:3" ht="13.5" customHeight="1" ns3:dyDescent="0.3">
      <c r="B479" s="7"/>
      <c r="C479" s="8"/>
    </row>
    <row r="480" spans="2:3" ht="13.5" customHeight="1" ns3:dyDescent="0.3">
      <c r="B480" s="7"/>
      <c r="C480" s="8"/>
    </row>
    <row r="481" spans="2:3" ht="13.5" customHeight="1" ns3:dyDescent="0.3">
      <c r="B481" s="7"/>
      <c r="C481" s="8"/>
    </row>
    <row r="482" spans="2:3" ht="13.5" customHeight="1" ns3:dyDescent="0.3">
      <c r="B482" s="7"/>
      <c r="C482" s="8"/>
    </row>
    <row r="483" spans="2:3" ht="13.5" customHeight="1" ns3:dyDescent="0.3">
      <c r="B483" s="7"/>
      <c r="C483" s="8"/>
    </row>
    <row r="484" spans="2:3" ht="13.5" customHeight="1" ns3:dyDescent="0.3">
      <c r="B484" s="7"/>
      <c r="C484" s="8"/>
    </row>
    <row r="485" spans="2:3" ht="13.5" customHeight="1" ns3:dyDescent="0.3">
      <c r="B485" s="7"/>
      <c r="C485" s="8"/>
    </row>
    <row r="486" spans="2:3" ht="13.5" customHeight="1" ns3:dyDescent="0.3">
      <c r="B486" s="7"/>
      <c r="C486" s="8"/>
    </row>
    <row r="487" spans="2:3" ht="13.5" customHeight="1" ns3:dyDescent="0.3">
      <c r="B487" s="7"/>
      <c r="C487" s="8"/>
    </row>
    <row r="488" spans="2:3" ht="13.5" customHeight="1" ns3:dyDescent="0.3">
      <c r="B488" s="7"/>
      <c r="C488" s="8"/>
    </row>
    <row r="489" spans="2:3" ht="13.5" customHeight="1" ns3:dyDescent="0.3">
      <c r="B489" s="7"/>
      <c r="C489" s="8"/>
    </row>
    <row r="490" spans="2:3" ht="13.5" customHeight="1" ns3:dyDescent="0.3">
      <c r="B490" s="7"/>
      <c r="C490" s="8"/>
    </row>
    <row r="491" spans="2:3" ht="13.5" customHeight="1" ns3:dyDescent="0.3">
      <c r="B491" s="7"/>
      <c r="C491" s="8"/>
    </row>
    <row r="492" spans="2:3" ht="13.5" customHeight="1" ns3:dyDescent="0.3">
      <c r="B492" s="7"/>
      <c r="C492" s="8"/>
    </row>
    <row r="493" spans="2:3" ht="13.5" customHeight="1" ns3:dyDescent="0.3">
      <c r="B493" s="7"/>
      <c r="C493" s="8"/>
    </row>
    <row r="494" spans="2:3" ht="13.5" customHeight="1" ns3:dyDescent="0.3">
      <c r="B494" s="7"/>
      <c r="C494" s="8"/>
    </row>
    <row r="495" spans="2:3" ht="13.5" customHeight="1" ns3:dyDescent="0.3">
      <c r="B495" s="7"/>
      <c r="C495" s="8"/>
    </row>
    <row r="496" spans="2:3" ht="13.5" customHeight="1" ns3:dyDescent="0.3">
      <c r="B496" s="7"/>
      <c r="C496" s="8"/>
    </row>
    <row r="497" spans="2:3" ht="13.5" customHeight="1" ns3:dyDescent="0.3">
      <c r="B497" s="7"/>
      <c r="C497" s="8"/>
    </row>
    <row r="498" spans="2:3" ht="13.5" customHeight="1" ns3:dyDescent="0.3">
      <c r="B498" s="7"/>
      <c r="C498" s="8"/>
    </row>
    <row r="499" spans="2:3" ht="13.5" customHeight="1" ns3:dyDescent="0.3">
      <c r="B499" s="7"/>
      <c r="C499" s="8"/>
    </row>
    <row r="500" spans="2:3" ht="13.5" customHeight="1" ns3:dyDescent="0.3">
      <c r="B500" s="7"/>
      <c r="C500" s="8"/>
    </row>
    <row r="501" spans="2:3" ht="13.5" customHeight="1" ns3:dyDescent="0.3">
      <c r="B501" s="7"/>
      <c r="C501" s="8"/>
    </row>
    <row r="502" spans="2:3" ht="13.5" customHeight="1" ns3:dyDescent="0.3">
      <c r="B502" s="7"/>
      <c r="C502" s="8"/>
    </row>
    <row r="503" spans="2:3" ht="13.5" customHeight="1" ns3:dyDescent="0.3">
      <c r="B503" s="7"/>
      <c r="C503" s="8"/>
    </row>
    <row r="504" spans="2:3" ht="13.5" customHeight="1" ns3:dyDescent="0.3">
      <c r="B504" s="7"/>
      <c r="C504" s="8"/>
    </row>
    <row r="505" spans="2:3" ht="13.5" customHeight="1" ns3:dyDescent="0.3">
      <c r="B505" s="7"/>
      <c r="C505" s="8"/>
    </row>
    <row r="506" spans="2:3" ht="13.5" customHeight="1" ns3:dyDescent="0.3">
      <c r="B506" s="7"/>
      <c r="C506" s="8"/>
    </row>
    <row r="507" spans="2:3" ht="13.5" customHeight="1" ns3:dyDescent="0.3">
      <c r="B507" s="7"/>
      <c r="C507" s="8"/>
    </row>
    <row r="508" spans="2:3" ht="13.5" customHeight="1" ns3:dyDescent="0.3">
      <c r="B508" s="7"/>
      <c r="C508" s="8"/>
    </row>
    <row r="509" spans="2:3" ht="13.5" customHeight="1" ns3:dyDescent="0.3">
      <c r="B509" s="7"/>
      <c r="C509" s="8"/>
    </row>
    <row r="510" spans="2:3" ht="13.5" customHeight="1" ns3:dyDescent="0.3">
      <c r="B510" s="7"/>
      <c r="C510" s="8"/>
    </row>
    <row r="511" spans="2:3" ht="13.5" customHeight="1" ns3:dyDescent="0.3">
      <c r="B511" s="7"/>
      <c r="C511" s="8"/>
    </row>
    <row r="512" spans="2:3" ht="13.5" customHeight="1" ns3:dyDescent="0.3">
      <c r="B512" s="7"/>
      <c r="C512" s="8"/>
    </row>
    <row r="513" spans="2:3" ht="13.5" customHeight="1" ns3:dyDescent="0.3">
      <c r="B513" s="7"/>
      <c r="C513" s="8"/>
    </row>
    <row r="514" spans="2:3" ht="13.5" customHeight="1" ns3:dyDescent="0.3">
      <c r="B514" s="7"/>
      <c r="C514" s="8"/>
    </row>
    <row r="515" spans="2:3" ht="13.5" customHeight="1" ns3:dyDescent="0.3">
      <c r="B515" s="7"/>
      <c r="C515" s="8"/>
    </row>
    <row r="516" spans="2:3" ht="13.5" customHeight="1" ns3:dyDescent="0.3">
      <c r="B516" s="7"/>
      <c r="C516" s="8"/>
    </row>
    <row r="517" spans="2:3" ht="13.5" customHeight="1" ns3:dyDescent="0.3">
      <c r="B517" s="7"/>
      <c r="C517" s="8"/>
    </row>
    <row r="518" spans="2:3" ht="13.5" customHeight="1" ns3:dyDescent="0.3">
      <c r="B518" s="7"/>
      <c r="C518" s="8"/>
    </row>
    <row r="519" spans="2:3" ht="13.5" customHeight="1" ns3:dyDescent="0.3">
      <c r="B519" s="7"/>
      <c r="C519" s="8"/>
    </row>
    <row r="520" spans="2:3" ht="13.5" customHeight="1" ns3:dyDescent="0.3">
      <c r="B520" s="7"/>
      <c r="C520" s="8"/>
    </row>
    <row r="521" spans="2:3" ht="13.5" customHeight="1" ns3:dyDescent="0.3">
      <c r="B521" s="7"/>
      <c r="C521" s="8"/>
    </row>
    <row r="522" spans="2:3" ht="13.5" customHeight="1" ns3:dyDescent="0.3">
      <c r="B522" s="7"/>
      <c r="C522" s="8"/>
    </row>
    <row r="523" spans="2:3" ht="13.5" customHeight="1" ns3:dyDescent="0.3">
      <c r="B523" s="7"/>
      <c r="C523" s="8"/>
    </row>
    <row r="524" spans="2:3" ht="13.5" customHeight="1" ns3:dyDescent="0.3">
      <c r="B524" s="7"/>
      <c r="C524" s="8"/>
    </row>
    <row r="525" spans="2:3" ht="13.5" customHeight="1" ns3:dyDescent="0.3">
      <c r="B525" s="7"/>
      <c r="C525" s="8"/>
    </row>
    <row r="526" spans="2:3" ht="13.5" customHeight="1" ns3:dyDescent="0.3">
      <c r="B526" s="7"/>
      <c r="C526" s="8"/>
    </row>
    <row r="527" spans="2:3" ht="13.5" customHeight="1" ns3:dyDescent="0.3">
      <c r="B527" s="7"/>
      <c r="C527" s="8"/>
    </row>
    <row r="528" spans="2:3" ht="13.5" customHeight="1" ns3:dyDescent="0.3">
      <c r="B528" s="7"/>
      <c r="C528" s="8"/>
    </row>
    <row r="529" spans="2:3" ht="13.5" customHeight="1" ns3:dyDescent="0.3">
      <c r="B529" s="7"/>
      <c r="C529" s="8"/>
    </row>
    <row r="530" spans="2:3" ht="13.5" customHeight="1" ns3:dyDescent="0.3">
      <c r="B530" s="7"/>
      <c r="C530" s="8"/>
    </row>
    <row r="531" spans="2:3" ht="13.5" customHeight="1" ns3:dyDescent="0.3">
      <c r="B531" s="7"/>
      <c r="C531" s="8"/>
    </row>
    <row r="532" spans="2:3" ht="13.5" customHeight="1" ns3:dyDescent="0.3">
      <c r="B532" s="7"/>
      <c r="C532" s="8"/>
    </row>
    <row r="533" spans="2:3" ht="13.5" customHeight="1" ns3:dyDescent="0.3">
      <c r="B533" s="7"/>
      <c r="C533" s="8"/>
    </row>
    <row r="534" spans="2:3" ht="13.5" customHeight="1" ns3:dyDescent="0.3">
      <c r="B534" s="7"/>
      <c r="C534" s="8"/>
    </row>
    <row r="535" spans="2:3" ht="13.5" customHeight="1" ns3:dyDescent="0.3">
      <c r="B535" s="7"/>
      <c r="C535" s="8"/>
    </row>
    <row r="536" spans="2:3" ht="13.5" customHeight="1" ns3:dyDescent="0.3">
      <c r="B536" s="7"/>
      <c r="C536" s="8"/>
    </row>
    <row r="537" spans="2:3" ht="13.5" customHeight="1" ns3:dyDescent="0.3">
      <c r="B537" s="7"/>
      <c r="C537" s="8"/>
    </row>
    <row r="538" spans="2:3" ht="13.5" customHeight="1" ns3:dyDescent="0.3">
      <c r="B538" s="7"/>
      <c r="C538" s="8"/>
    </row>
    <row r="539" spans="2:3" ht="13.5" customHeight="1" ns3:dyDescent="0.3">
      <c r="B539" s="7"/>
      <c r="C539" s="8"/>
    </row>
    <row r="540" spans="2:3" ht="13.5" customHeight="1" ns3:dyDescent="0.3">
      <c r="B540" s="7"/>
      <c r="C540" s="8"/>
    </row>
    <row r="541" spans="2:3" ht="13.5" customHeight="1" ns3:dyDescent="0.3">
      <c r="B541" s="7"/>
      <c r="C541" s="8"/>
    </row>
    <row r="542" spans="2:3" ht="13.5" customHeight="1" ns3:dyDescent="0.3">
      <c r="B542" s="7"/>
      <c r="C542" s="8"/>
    </row>
    <row r="543" spans="2:3" ht="13.5" customHeight="1" ns3:dyDescent="0.3">
      <c r="B543" s="7"/>
      <c r="C543" s="8"/>
    </row>
    <row r="544" spans="2:3" ht="13.5" customHeight="1" ns3:dyDescent="0.3">
      <c r="B544" s="7"/>
      <c r="C544" s="8"/>
    </row>
    <row r="545" spans="2:3" ht="13.5" customHeight="1" ns3:dyDescent="0.3">
      <c r="B545" s="7"/>
      <c r="C545" s="8"/>
    </row>
    <row r="546" spans="2:3" ht="13.5" customHeight="1" ns3:dyDescent="0.3">
      <c r="B546" s="7"/>
      <c r="C546" s="8"/>
    </row>
    <row r="547" spans="2:3" ht="13.5" customHeight="1" ns3:dyDescent="0.3">
      <c r="B547" s="7"/>
      <c r="C547" s="8"/>
    </row>
    <row r="548" spans="2:3" ht="13.5" customHeight="1" ns3:dyDescent="0.3">
      <c r="B548" s="7"/>
      <c r="C548" s="8"/>
    </row>
    <row r="549" spans="2:3" ht="13.5" customHeight="1" ns3:dyDescent="0.3">
      <c r="B549" s="7"/>
      <c r="C549" s="8"/>
    </row>
    <row r="550" spans="2:3" ht="13.5" customHeight="1" ns3:dyDescent="0.3">
      <c r="B550" s="7"/>
      <c r="C550" s="8"/>
    </row>
    <row r="551" spans="2:3" ht="13.5" customHeight="1" ns3:dyDescent="0.3">
      <c r="B551" s="7"/>
      <c r="C551" s="8"/>
    </row>
    <row r="552" spans="2:3" ht="13.5" customHeight="1" ns3:dyDescent="0.3">
      <c r="B552" s="7"/>
      <c r="C552" s="8"/>
    </row>
    <row r="553" spans="2:3" ht="13.5" customHeight="1" ns3:dyDescent="0.3">
      <c r="B553" s="7"/>
      <c r="C553" s="8"/>
    </row>
    <row r="554" spans="2:3" ht="13.5" customHeight="1" ns3:dyDescent="0.3">
      <c r="B554" s="7"/>
      <c r="C554" s="8"/>
    </row>
    <row r="555" spans="2:3" ht="13.5" customHeight="1" ns3:dyDescent="0.3">
      <c r="B555" s="7"/>
      <c r="C555" s="8"/>
    </row>
    <row r="556" spans="2:3" ht="13.5" customHeight="1" ns3:dyDescent="0.3">
      <c r="B556" s="7"/>
      <c r="C556" s="8"/>
    </row>
    <row r="557" spans="2:3" ht="13.5" customHeight="1" ns3:dyDescent="0.3">
      <c r="B557" s="7"/>
      <c r="C557" s="8"/>
    </row>
    <row r="558" spans="2:3" ht="13.5" customHeight="1" ns3:dyDescent="0.3">
      <c r="B558" s="7"/>
      <c r="C558" s="8"/>
    </row>
    <row r="559" spans="2:3" ht="13.5" customHeight="1" ns3:dyDescent="0.3">
      <c r="B559" s="7"/>
      <c r="C559" s="8"/>
    </row>
    <row r="560" spans="2:3" ht="13.5" customHeight="1" ns3:dyDescent="0.3">
      <c r="B560" s="7"/>
      <c r="C560" s="8"/>
    </row>
    <row r="561" spans="2:3" ht="13.5" customHeight="1" ns3:dyDescent="0.3">
      <c r="B561" s="7"/>
      <c r="C561" s="8"/>
    </row>
    <row r="562" spans="2:3" ht="13.5" customHeight="1" ns3:dyDescent="0.3">
      <c r="B562" s="7"/>
      <c r="C562" s="8"/>
    </row>
    <row r="563" spans="2:3" ht="13.5" customHeight="1" ns3:dyDescent="0.3">
      <c r="B563" s="7"/>
      <c r="C563" s="8"/>
    </row>
    <row r="564" spans="2:3" ht="13.5" customHeight="1" ns3:dyDescent="0.3">
      <c r="B564" s="7"/>
      <c r="C564" s="8"/>
    </row>
    <row r="565" spans="2:3" ht="13.5" customHeight="1" ns3:dyDescent="0.3">
      <c r="B565" s="7"/>
      <c r="C565" s="8"/>
    </row>
    <row r="566" spans="2:3" ht="13.5" customHeight="1" ns3:dyDescent="0.3">
      <c r="B566" s="7"/>
      <c r="C566" s="8"/>
    </row>
    <row r="567" spans="2:3" ht="13.5" customHeight="1" ns3:dyDescent="0.3">
      <c r="B567" s="7"/>
      <c r="C567" s="8"/>
    </row>
    <row r="568" spans="2:3" ht="13.5" customHeight="1" ns3:dyDescent="0.3">
      <c r="B568" s="7"/>
      <c r="C568" s="8"/>
    </row>
    <row r="569" spans="2:3" ht="13.5" customHeight="1" ns3:dyDescent="0.3">
      <c r="B569" s="7"/>
      <c r="C569" s="8"/>
    </row>
    <row r="570" spans="2:3" ht="13.5" customHeight="1" ns3:dyDescent="0.3">
      <c r="B570" s="7"/>
      <c r="C570" s="8"/>
    </row>
    <row r="571" spans="2:3" ht="13.5" customHeight="1" ns3:dyDescent="0.3">
      <c r="B571" s="7"/>
      <c r="C571" s="8"/>
    </row>
    <row r="572" spans="2:3" ht="13.5" customHeight="1" ns3:dyDescent="0.3">
      <c r="B572" s="7"/>
      <c r="C572" s="8"/>
    </row>
    <row r="573" spans="2:3" ht="13.5" customHeight="1" ns3:dyDescent="0.3">
      <c r="B573" s="7"/>
      <c r="C573" s="8"/>
    </row>
    <row r="574" spans="2:3" ht="13.5" customHeight="1" ns3:dyDescent="0.3">
      <c r="B574" s="7"/>
      <c r="C574" s="8"/>
    </row>
    <row r="575" spans="2:3" ht="13.5" customHeight="1" ns3:dyDescent="0.3">
      <c r="B575" s="7"/>
      <c r="C575" s="8"/>
    </row>
    <row r="576" spans="2:3" ht="13.5" customHeight="1" ns3:dyDescent="0.3">
      <c r="B576" s="7"/>
      <c r="C576" s="8"/>
    </row>
    <row r="577" spans="2:3" ht="13.5" customHeight="1" ns3:dyDescent="0.3">
      <c r="B577" s="7"/>
      <c r="C577" s="8"/>
    </row>
    <row r="578" spans="2:3" ht="13.5" customHeight="1" ns3:dyDescent="0.3">
      <c r="B578" s="7"/>
      <c r="C578" s="8"/>
    </row>
    <row r="579" spans="2:3" ht="13.5" customHeight="1" ns3:dyDescent="0.3">
      <c r="B579" s="7"/>
      <c r="C579" s="8"/>
    </row>
    <row r="580" spans="2:3" ht="13.5" customHeight="1" ns3:dyDescent="0.3">
      <c r="B580" s="7"/>
      <c r="C580" s="8"/>
    </row>
    <row r="581" spans="2:3" ht="13.5" customHeight="1" ns3:dyDescent="0.3">
      <c r="B581" s="7"/>
      <c r="C581" s="8"/>
    </row>
    <row r="582" spans="2:3" ht="13.5" customHeight="1" ns3:dyDescent="0.3">
      <c r="B582" s="7"/>
      <c r="C582" s="8"/>
    </row>
    <row r="583" spans="2:3" ht="13.5" customHeight="1" ns3:dyDescent="0.3">
      <c r="B583" s="7"/>
      <c r="C583" s="8"/>
    </row>
    <row r="584" spans="2:3" ht="13.5" customHeight="1" ns3:dyDescent="0.3">
      <c r="B584" s="7"/>
      <c r="C584" s="8"/>
    </row>
    <row r="585" spans="2:3" ht="13.5" customHeight="1" ns3:dyDescent="0.3">
      <c r="B585" s="7"/>
      <c r="C585" s="8"/>
    </row>
    <row r="586" spans="2:3" ht="13.5" customHeight="1" ns3:dyDescent="0.3">
      <c r="B586" s="7"/>
      <c r="C586" s="8"/>
    </row>
    <row r="587" spans="2:3" ht="13.5" customHeight="1" ns3:dyDescent="0.3">
      <c r="B587" s="7"/>
      <c r="C587" s="8"/>
    </row>
    <row r="588" spans="2:3" ht="13.5" customHeight="1" ns3:dyDescent="0.3">
      <c r="B588" s="7"/>
      <c r="C588" s="8"/>
    </row>
    <row r="589" spans="2:3" ht="13.5" customHeight="1" ns3:dyDescent="0.3">
      <c r="B589" s="7"/>
      <c r="C589" s="8"/>
    </row>
    <row r="590" spans="2:3" ht="13.5" customHeight="1" ns3:dyDescent="0.3">
      <c r="B590" s="7"/>
      <c r="C590" s="8"/>
    </row>
    <row r="591" spans="2:3" ht="13.5" customHeight="1" ns3:dyDescent="0.3">
      <c r="B591" s="7"/>
      <c r="C591" s="8"/>
    </row>
    <row r="592" spans="2:3" ht="13.5" customHeight="1" ns3:dyDescent="0.3">
      <c r="B592" s="7"/>
      <c r="C592" s="8"/>
    </row>
    <row r="593" spans="2:3" ht="13.5" customHeight="1" ns3:dyDescent="0.3">
      <c r="B593" s="7"/>
      <c r="C593" s="8"/>
    </row>
    <row r="594" spans="2:3" ht="13.5" customHeight="1" ns3:dyDescent="0.3">
      <c r="B594" s="7"/>
      <c r="C594" s="8"/>
    </row>
    <row r="595" spans="2:3" ht="13.5" customHeight="1" ns3:dyDescent="0.3">
      <c r="B595" s="7"/>
      <c r="C595" s="8"/>
    </row>
    <row r="596" spans="2:3" ht="13.5" customHeight="1" ns3:dyDescent="0.3">
      <c r="B596" s="7"/>
      <c r="C596" s="8"/>
    </row>
    <row r="597" spans="2:3" ht="13.5" customHeight="1" ns3:dyDescent="0.3">
      <c r="B597" s="7"/>
      <c r="C597" s="8"/>
    </row>
    <row r="598" spans="2:3" ht="13.5" customHeight="1" ns3:dyDescent="0.3">
      <c r="B598" s="7"/>
      <c r="C598" s="8"/>
    </row>
    <row r="599" spans="2:3" ht="13.5" customHeight="1" ns3:dyDescent="0.3">
      <c r="B599" s="7"/>
      <c r="C599" s="8"/>
    </row>
    <row r="600" spans="2:3" ht="13.5" customHeight="1" ns3:dyDescent="0.3">
      <c r="B600" s="7"/>
      <c r="C600" s="8"/>
    </row>
    <row r="601" spans="2:3" ht="13.5" customHeight="1" ns3:dyDescent="0.3">
      <c r="B601" s="7"/>
      <c r="C601" s="8"/>
    </row>
    <row r="602" spans="2:3" ht="13.5" customHeight="1" ns3:dyDescent="0.3">
      <c r="B602" s="7"/>
      <c r="C602" s="8"/>
    </row>
    <row r="603" spans="2:3" ht="13.5" customHeight="1" ns3:dyDescent="0.3">
      <c r="B603" s="7"/>
      <c r="C603" s="8"/>
    </row>
    <row r="604" spans="2:3" ht="13.5" customHeight="1" ns3:dyDescent="0.3">
      <c r="B604" s="7"/>
      <c r="C604" s="8"/>
    </row>
    <row r="605" spans="2:3" ht="13.5" customHeight="1" ns3:dyDescent="0.3">
      <c r="B605" s="7"/>
      <c r="C605" s="8"/>
    </row>
    <row r="606" spans="2:3" ht="13.5" customHeight="1" ns3:dyDescent="0.3">
      <c r="B606" s="7"/>
      <c r="C606" s="8"/>
    </row>
    <row r="607" spans="2:3" ht="13.5" customHeight="1" ns3:dyDescent="0.3">
      <c r="B607" s="7"/>
      <c r="C607" s="8"/>
    </row>
    <row r="608" spans="2:3" ht="13.5" customHeight="1" ns3:dyDescent="0.3">
      <c r="B608" s="7"/>
      <c r="C608" s="8"/>
    </row>
    <row r="609" spans="2:3" ht="13.5" customHeight="1" ns3:dyDescent="0.3">
      <c r="B609" s="7"/>
      <c r="C609" s="8"/>
    </row>
    <row r="610" spans="2:3" ht="13.5" customHeight="1" ns3:dyDescent="0.3">
      <c r="B610" s="7"/>
      <c r="C610" s="8"/>
    </row>
    <row r="611" spans="2:3" ht="13.5" customHeight="1" ns3:dyDescent="0.3">
      <c r="B611" s="7"/>
      <c r="C611" s="8"/>
    </row>
    <row r="612" spans="2:3" ht="13.5" customHeight="1" ns3:dyDescent="0.3">
      <c r="B612" s="7"/>
      <c r="C612" s="8"/>
    </row>
    <row r="613" spans="2:3" ht="13.5" customHeight="1" ns3:dyDescent="0.3">
      <c r="B613" s="7"/>
      <c r="C613" s="8"/>
    </row>
    <row r="614" spans="2:3" ht="13.5" customHeight="1" ns3:dyDescent="0.3">
      <c r="B614" s="7"/>
      <c r="C614" s="8"/>
    </row>
    <row r="615" spans="2:3" ht="13.5" customHeight="1" ns3:dyDescent="0.3">
      <c r="B615" s="7"/>
      <c r="C615" s="8"/>
    </row>
    <row r="616" spans="2:3" ht="13.5" customHeight="1" ns3:dyDescent="0.3">
      <c r="B616" s="7"/>
      <c r="C616" s="8"/>
    </row>
    <row r="617" spans="2:3" ht="13.5" customHeight="1" ns3:dyDescent="0.3">
      <c r="B617" s="7"/>
      <c r="C617" s="8"/>
    </row>
    <row r="618" spans="2:3" ht="13.5" customHeight="1" ns3:dyDescent="0.3">
      <c r="B618" s="7"/>
      <c r="C618" s="8"/>
    </row>
    <row r="619" spans="2:3" ht="13.5" customHeight="1" ns3:dyDescent="0.3">
      <c r="B619" s="7"/>
      <c r="C619" s="8"/>
    </row>
    <row r="620" spans="2:3" ht="13.5" customHeight="1" ns3:dyDescent="0.3">
      <c r="B620" s="7"/>
      <c r="C620" s="8"/>
    </row>
    <row r="621" spans="2:3" ht="13.5" customHeight="1" ns3:dyDescent="0.3">
      <c r="B621" s="7"/>
      <c r="C621" s="8"/>
    </row>
    <row r="622" spans="2:3" ht="13.5" customHeight="1" ns3:dyDescent="0.3">
      <c r="B622" s="7"/>
      <c r="C622" s="8"/>
    </row>
    <row r="623" spans="2:3" ht="13.5" customHeight="1" ns3:dyDescent="0.3">
      <c r="B623" s="7"/>
      <c r="C623" s="8"/>
    </row>
    <row r="624" spans="2:3" ht="13.5" customHeight="1" ns3:dyDescent="0.3">
      <c r="B624" s="7"/>
      <c r="C624" s="8"/>
    </row>
    <row r="625" spans="2:3" ht="13.5" customHeight="1" ns3:dyDescent="0.3">
      <c r="B625" s="7"/>
      <c r="C625" s="8"/>
    </row>
    <row r="626" spans="2:3" ht="13.5" customHeight="1" ns3:dyDescent="0.3">
      <c r="B626" s="7"/>
      <c r="C626" s="8"/>
    </row>
    <row r="627" spans="2:3" ht="13.5" customHeight="1" ns3:dyDescent="0.3">
      <c r="B627" s="7"/>
      <c r="C627" s="8"/>
    </row>
    <row r="628" spans="2:3" ht="13.5" customHeight="1" ns3:dyDescent="0.3">
      <c r="B628" s="7"/>
      <c r="C628" s="8"/>
    </row>
    <row r="629" spans="2:3" ht="13.5" customHeight="1" ns3:dyDescent="0.3">
      <c r="B629" s="7"/>
      <c r="C629" s="8"/>
    </row>
    <row r="630" spans="2:3" ht="13.5" customHeight="1" ns3:dyDescent="0.3">
      <c r="B630" s="7"/>
      <c r="C630" s="8"/>
    </row>
    <row r="631" spans="2:3" ht="13.5" customHeight="1" ns3:dyDescent="0.3">
      <c r="B631" s="7"/>
      <c r="C631" s="8"/>
    </row>
    <row r="632" spans="2:3" ht="13.5" customHeight="1" ns3:dyDescent="0.3">
      <c r="B632" s="7"/>
      <c r="C632" s="8"/>
    </row>
    <row r="633" spans="2:3" ht="13.5" customHeight="1" ns3:dyDescent="0.3">
      <c r="B633" s="7"/>
      <c r="C633" s="8"/>
    </row>
    <row r="634" spans="2:3" ht="13.5" customHeight="1" ns3:dyDescent="0.3">
      <c r="B634" s="7"/>
      <c r="C634" s="8"/>
    </row>
    <row r="635" spans="2:3" ht="13.5" customHeight="1" ns3:dyDescent="0.3">
      <c r="B635" s="7"/>
      <c r="C635" s="8"/>
    </row>
    <row r="636" spans="2:3" ht="13.5" customHeight="1" ns3:dyDescent="0.3">
      <c r="B636" s="7"/>
      <c r="C636" s="8"/>
    </row>
    <row r="637" spans="2:3" ht="13.5" customHeight="1" ns3:dyDescent="0.3">
      <c r="B637" s="7"/>
      <c r="C637" s="8"/>
    </row>
    <row r="638" spans="2:3" ht="13.5" customHeight="1" ns3:dyDescent="0.3">
      <c r="B638" s="7"/>
      <c r="C638" s="8"/>
    </row>
    <row r="639" spans="2:3" ht="13.5" customHeight="1" ns3:dyDescent="0.3">
      <c r="B639" s="7"/>
      <c r="C639" s="8"/>
    </row>
    <row r="640" spans="2:3" ht="13.5" customHeight="1" ns3:dyDescent="0.3">
      <c r="B640" s="7"/>
      <c r="C640" s="8"/>
    </row>
    <row r="641" spans="2:3" ht="13.5" customHeight="1" ns3:dyDescent="0.3">
      <c r="B641" s="7"/>
      <c r="C641" s="8"/>
    </row>
    <row r="642" spans="2:3" ht="13.5" customHeight="1" ns3:dyDescent="0.3">
      <c r="B642" s="7"/>
      <c r="C642" s="8"/>
    </row>
    <row r="643" spans="2:3" ht="13.5" customHeight="1" ns3:dyDescent="0.3">
      <c r="B643" s="7"/>
      <c r="C643" s="8"/>
    </row>
    <row r="644" spans="2:3" ht="13.5" customHeight="1" ns3:dyDescent="0.3">
      <c r="B644" s="7"/>
      <c r="C644" s="8"/>
    </row>
    <row r="645" spans="2:3" ht="13.5" customHeight="1" ns3:dyDescent="0.3">
      <c r="B645" s="7"/>
      <c r="C645" s="8"/>
    </row>
    <row r="646" spans="2:3" ht="13.5" customHeight="1" ns3:dyDescent="0.3">
      <c r="B646" s="7"/>
      <c r="C646" s="8"/>
    </row>
    <row r="647" spans="2:3" ht="13.5" customHeight="1" ns3:dyDescent="0.3">
      <c r="B647" s="7"/>
      <c r="C647" s="8"/>
    </row>
    <row r="648" spans="2:3" ht="13.5" customHeight="1" ns3:dyDescent="0.3">
      <c r="B648" s="7"/>
      <c r="C648" s="8"/>
    </row>
    <row r="649" spans="2:3" ht="13.5" customHeight="1" ns3:dyDescent="0.3">
      <c r="B649" s="7"/>
      <c r="C649" s="8"/>
    </row>
    <row r="650" spans="2:3" ht="13.5" customHeight="1" ns3:dyDescent="0.3">
      <c r="B650" s="7"/>
      <c r="C650" s="8"/>
    </row>
    <row r="651" spans="2:3" ht="13.5" customHeight="1" ns3:dyDescent="0.3">
      <c r="B651" s="7"/>
      <c r="C651" s="8"/>
    </row>
    <row r="652" spans="2:3" ht="13.5" customHeight="1" ns3:dyDescent="0.3">
      <c r="B652" s="7"/>
      <c r="C652" s="8"/>
    </row>
    <row r="653" spans="2:3" ht="13.5" customHeight="1" ns3:dyDescent="0.3">
      <c r="B653" s="7"/>
      <c r="C653" s="8"/>
    </row>
    <row r="654" spans="2:3" ht="13.5" customHeight="1" ns3:dyDescent="0.3">
      <c r="B654" s="7"/>
      <c r="C654" s="8"/>
    </row>
    <row r="655" spans="2:3" ht="13.5" customHeight="1" ns3:dyDescent="0.3">
      <c r="B655" s="7"/>
      <c r="C655" s="8"/>
    </row>
    <row r="656" spans="2:3" ht="13.5" customHeight="1" ns3:dyDescent="0.3">
      <c r="B656" s="7"/>
      <c r="C656" s="8"/>
    </row>
    <row r="657" spans="2:3" ht="13.5" customHeight="1" ns3:dyDescent="0.3">
      <c r="B657" s="7"/>
      <c r="C657" s="8"/>
    </row>
    <row r="658" spans="2:3" ht="13.5" customHeight="1" ns3:dyDescent="0.3">
      <c r="B658" s="7"/>
      <c r="C658" s="8"/>
    </row>
    <row r="659" spans="2:3" ht="13.5" customHeight="1" ns3:dyDescent="0.3">
      <c r="B659" s="7"/>
      <c r="C659" s="8"/>
    </row>
    <row r="660" spans="2:3" ht="13.5" customHeight="1" ns3:dyDescent="0.3">
      <c r="B660" s="7"/>
      <c r="C660" s="8"/>
    </row>
    <row r="661" spans="2:3" ht="13.5" customHeight="1" ns3:dyDescent="0.3">
      <c r="B661" s="7"/>
      <c r="C661" s="8"/>
    </row>
    <row r="662" spans="2:3" ht="13.5" customHeight="1" ns3:dyDescent="0.3">
      <c r="B662" s="7"/>
      <c r="C662" s="8"/>
    </row>
    <row r="663" spans="2:3" ht="13.5" customHeight="1" ns3:dyDescent="0.3">
      <c r="B663" s="7"/>
      <c r="C663" s="8"/>
    </row>
    <row r="664" spans="2:3" ht="13.5" customHeight="1" ns3:dyDescent="0.3">
      <c r="B664" s="7"/>
      <c r="C664" s="8"/>
    </row>
    <row r="665" spans="2:3" ht="13.5" customHeight="1" ns3:dyDescent="0.3">
      <c r="B665" s="7"/>
      <c r="C665" s="8"/>
    </row>
    <row r="666" spans="2:3" ht="13.5" customHeight="1" ns3:dyDescent="0.3">
      <c r="B666" s="7"/>
      <c r="C666" s="8"/>
    </row>
    <row r="667" spans="2:3" ht="13.5" customHeight="1" ns3:dyDescent="0.3">
      <c r="B667" s="7"/>
      <c r="C667" s="8"/>
    </row>
    <row r="668" spans="2:3" ht="13.5" customHeight="1" ns3:dyDescent="0.3">
      <c r="B668" s="7"/>
      <c r="C668" s="8"/>
    </row>
    <row r="669" spans="2:3" ht="13.5" customHeight="1" ns3:dyDescent="0.3">
      <c r="B669" s="7"/>
      <c r="C669" s="8"/>
    </row>
    <row r="670" spans="2:3" ht="13.5" customHeight="1" ns3:dyDescent="0.3">
      <c r="B670" s="7"/>
      <c r="C670" s="8"/>
    </row>
    <row r="671" spans="2:3" ht="13.5" customHeight="1" ns3:dyDescent="0.3">
      <c r="B671" s="7"/>
      <c r="C671" s="8"/>
    </row>
    <row r="672" spans="2:3" ht="13.5" customHeight="1" ns3:dyDescent="0.3">
      <c r="B672" s="7"/>
      <c r="C672" s="8"/>
    </row>
    <row r="673" spans="2:3" ht="13.5" customHeight="1" ns3:dyDescent="0.3">
      <c r="B673" s="7"/>
      <c r="C673" s="8"/>
    </row>
    <row r="674" spans="2:3" ht="13.5" customHeight="1" ns3:dyDescent="0.3">
      <c r="B674" s="7"/>
      <c r="C674" s="8"/>
    </row>
    <row r="675" spans="2:3" ht="13.5" customHeight="1" ns3:dyDescent="0.3">
      <c r="B675" s="7"/>
      <c r="C675" s="8"/>
    </row>
    <row r="676" spans="2:3" ht="13.5" customHeight="1" ns3:dyDescent="0.3">
      <c r="B676" s="7"/>
      <c r="C676" s="8"/>
    </row>
    <row r="677" spans="2:3" ht="13.5" customHeight="1" ns3:dyDescent="0.3">
      <c r="B677" s="7"/>
      <c r="C677" s="8"/>
    </row>
    <row r="678" spans="2:3" ht="13.5" customHeight="1" ns3:dyDescent="0.3">
      <c r="B678" s="7"/>
      <c r="C678" s="8"/>
    </row>
    <row r="679" spans="2:3" ht="13.5" customHeight="1" ns3:dyDescent="0.3">
      <c r="B679" s="7"/>
      <c r="C679" s="8"/>
    </row>
    <row r="680" spans="2:3" ht="13.5" customHeight="1" ns3:dyDescent="0.3">
      <c r="B680" s="7"/>
      <c r="C680" s="8"/>
    </row>
    <row r="681" spans="2:3" ht="13.5" customHeight="1" ns3:dyDescent="0.3">
      <c r="B681" s="7"/>
      <c r="C681" s="8"/>
    </row>
    <row r="682" spans="2:3" ht="13.5" customHeight="1" ns3:dyDescent="0.3">
      <c r="B682" s="7"/>
      <c r="C682" s="8"/>
    </row>
    <row r="683" spans="2:3" ht="13.5" customHeight="1" ns3:dyDescent="0.3">
      <c r="B683" s="7"/>
      <c r="C683" s="8"/>
    </row>
    <row r="684" spans="2:3" ht="13.5" customHeight="1" ns3:dyDescent="0.3">
      <c r="B684" s="7"/>
      <c r="C684" s="8"/>
    </row>
    <row r="685" spans="2:3" ht="13.5" customHeight="1" ns3:dyDescent="0.3">
      <c r="B685" s="7"/>
      <c r="C685" s="8"/>
    </row>
    <row r="686" spans="2:3" ht="13.5" customHeight="1" ns3:dyDescent="0.3">
      <c r="B686" s="7"/>
      <c r="C686" s="8"/>
    </row>
    <row r="687" spans="2:3" ht="13.5" customHeight="1" ns3:dyDescent="0.3">
      <c r="B687" s="7"/>
      <c r="C687" s="8"/>
    </row>
    <row r="688" spans="2:3" ht="13.5" customHeight="1" ns3:dyDescent="0.3">
      <c r="B688" s="7"/>
      <c r="C688" s="8"/>
    </row>
    <row r="689" spans="2:3" ht="13.5" customHeight="1" ns3:dyDescent="0.3">
      <c r="B689" s="7"/>
      <c r="C689" s="8"/>
    </row>
    <row r="690" spans="2:3" ht="13.5" customHeight="1" ns3:dyDescent="0.3">
      <c r="B690" s="7"/>
      <c r="C690" s="8"/>
    </row>
    <row r="691" spans="2:3" ht="13.5" customHeight="1" ns3:dyDescent="0.3">
      <c r="B691" s="7"/>
      <c r="C691" s="8"/>
    </row>
    <row r="692" spans="2:3" ht="13.5" customHeight="1" ns3:dyDescent="0.3">
      <c r="B692" s="7"/>
      <c r="C692" s="8"/>
    </row>
    <row r="693" spans="2:3" ht="13.5" customHeight="1" ns3:dyDescent="0.3">
      <c r="B693" s="7"/>
      <c r="C693" s="8"/>
    </row>
    <row r="694" spans="2:3" ht="13.5" customHeight="1" ns3:dyDescent="0.3">
      <c r="B694" s="7"/>
      <c r="C694" s="8"/>
    </row>
    <row r="695" spans="2:3" ht="13.5" customHeight="1" ns3:dyDescent="0.3">
      <c r="B695" s="7"/>
      <c r="C695" s="8"/>
    </row>
    <row r="696" spans="2:3" ht="13.5" customHeight="1" ns3:dyDescent="0.3">
      <c r="B696" s="7"/>
      <c r="C696" s="8"/>
    </row>
    <row r="697" spans="2:3" ht="13.5" customHeight="1" ns3:dyDescent="0.3">
      <c r="B697" s="7"/>
      <c r="C697" s="8"/>
    </row>
    <row r="698" spans="2:3" ht="13.5" customHeight="1" ns3:dyDescent="0.3">
      <c r="B698" s="7"/>
      <c r="C698" s="8"/>
    </row>
    <row r="699" spans="2:3" ht="13.5" customHeight="1" ns3:dyDescent="0.3">
      <c r="B699" s="7"/>
      <c r="C699" s="8"/>
    </row>
    <row r="700" spans="2:3" ht="13.5" customHeight="1" ns3:dyDescent="0.3">
      <c r="B700" s="7"/>
      <c r="C700" s="8"/>
    </row>
    <row r="701" spans="2:3" ht="13.5" customHeight="1" ns3:dyDescent="0.3">
      <c r="B701" s="7"/>
      <c r="C701" s="8"/>
    </row>
    <row r="702" spans="2:3" ht="13.5" customHeight="1" ns3:dyDescent="0.3">
      <c r="B702" s="7"/>
      <c r="C702" s="8"/>
    </row>
    <row r="703" spans="2:3" ht="13.5" customHeight="1" ns3:dyDescent="0.3">
      <c r="B703" s="7"/>
      <c r="C703" s="8"/>
    </row>
    <row r="704" spans="2:3" ht="13.5" customHeight="1" ns3:dyDescent="0.3">
      <c r="B704" s="7"/>
      <c r="C704" s="8"/>
    </row>
    <row r="705" spans="2:3" ht="13.5" customHeight="1" ns3:dyDescent="0.3">
      <c r="B705" s="7"/>
      <c r="C705" s="8"/>
    </row>
    <row r="706" spans="2:3" ht="13.5" customHeight="1" ns3:dyDescent="0.3">
      <c r="B706" s="7"/>
      <c r="C706" s="8"/>
    </row>
    <row r="707" spans="2:3" ht="13.5" customHeight="1" ns3:dyDescent="0.3">
      <c r="B707" s="7"/>
      <c r="C707" s="8"/>
    </row>
    <row r="708" spans="2:3" ht="13.5" customHeight="1" ns3:dyDescent="0.3">
      <c r="B708" s="7"/>
      <c r="C708" s="8"/>
    </row>
    <row r="709" spans="2:3" ht="13.5" customHeight="1" ns3:dyDescent="0.3">
      <c r="B709" s="7"/>
      <c r="C709" s="8"/>
    </row>
    <row r="710" spans="2:3" ht="13.5" customHeight="1" ns3:dyDescent="0.3">
      <c r="B710" s="7"/>
      <c r="C710" s="8"/>
    </row>
    <row r="711" spans="2:3" ht="13.5" customHeight="1" ns3:dyDescent="0.3">
      <c r="B711" s="7"/>
      <c r="C711" s="8"/>
    </row>
    <row r="712" spans="2:3" ht="13.5" customHeight="1" ns3:dyDescent="0.3">
      <c r="B712" s="7"/>
      <c r="C712" s="8"/>
    </row>
    <row r="713" spans="2:3" ht="13.5" customHeight="1" ns3:dyDescent="0.3">
      <c r="B713" s="7"/>
      <c r="C713" s="8"/>
    </row>
    <row r="714" spans="2:3" ht="13.5" customHeight="1" ns3:dyDescent="0.3">
      <c r="B714" s="7"/>
      <c r="C714" s="8"/>
    </row>
    <row r="715" spans="2:3" ht="13.5" customHeight="1" ns3:dyDescent="0.3">
      <c r="B715" s="7"/>
      <c r="C715" s="8"/>
    </row>
    <row r="716" spans="2:3" ht="13.5" customHeight="1" ns3:dyDescent="0.3">
      <c r="B716" s="7"/>
      <c r="C716" s="8"/>
    </row>
    <row r="717" spans="2:3" ht="13.5" customHeight="1" ns3:dyDescent="0.3">
      <c r="B717" s="7"/>
      <c r="C717" s="8"/>
    </row>
    <row r="718" spans="2:3" ht="13.5" customHeight="1" ns3:dyDescent="0.3">
      <c r="B718" s="7"/>
      <c r="C718" s="8"/>
    </row>
    <row r="719" spans="2:3" ht="13.5" customHeight="1" ns3:dyDescent="0.3">
      <c r="B719" s="7"/>
      <c r="C719" s="8"/>
    </row>
    <row r="720" spans="2:3" ht="13.5" customHeight="1" ns3:dyDescent="0.3">
      <c r="B720" s="7"/>
      <c r="C720" s="8"/>
    </row>
    <row r="721" spans="2:3" ht="13.5" customHeight="1" ns3:dyDescent="0.3">
      <c r="B721" s="7"/>
      <c r="C721" s="8"/>
    </row>
    <row r="722" spans="2:3" ht="13.5" customHeight="1" ns3:dyDescent="0.3">
      <c r="B722" s="7"/>
      <c r="C722" s="8"/>
    </row>
    <row r="723" spans="2:3" ht="13.5" customHeight="1" ns3:dyDescent="0.3">
      <c r="B723" s="7"/>
      <c r="C723" s="8"/>
    </row>
    <row r="724" spans="2:3" ht="13.5" customHeight="1" ns3:dyDescent="0.3">
      <c r="B724" s="7"/>
      <c r="C724" s="8"/>
    </row>
    <row r="725" spans="2:3" ht="13.5" customHeight="1" ns3:dyDescent="0.3">
      <c r="B725" s="7"/>
      <c r="C725" s="8"/>
    </row>
    <row r="726" spans="2:3" ht="13.5" customHeight="1" ns3:dyDescent="0.3">
      <c r="B726" s="7"/>
      <c r="C726" s="8"/>
    </row>
    <row r="727" spans="2:3" ht="13.5" customHeight="1" ns3:dyDescent="0.3">
      <c r="B727" s="7"/>
      <c r="C727" s="8"/>
    </row>
    <row r="728" spans="2:3" ht="13.5" customHeight="1" ns3:dyDescent="0.3">
      <c r="B728" s="7"/>
      <c r="C728" s="8"/>
    </row>
    <row r="729" spans="2:3" ht="13.5" customHeight="1" ns3:dyDescent="0.3">
      <c r="B729" s="7"/>
      <c r="C729" s="8"/>
    </row>
    <row r="730" spans="2:3" ht="13.5" customHeight="1" ns3:dyDescent="0.3">
      <c r="B730" s="7"/>
      <c r="C730" s="8"/>
    </row>
    <row r="731" spans="2:3" ht="13.5" customHeight="1" ns3:dyDescent="0.3">
      <c r="B731" s="7"/>
      <c r="C731" s="8"/>
    </row>
    <row r="732" spans="2:3" ht="13.5" customHeight="1" ns3:dyDescent="0.3">
      <c r="B732" s="7"/>
      <c r="C732" s="8"/>
    </row>
    <row r="733" spans="2:3" ht="13.5" customHeight="1" ns3:dyDescent="0.3">
      <c r="B733" s="7"/>
      <c r="C733" s="8"/>
    </row>
    <row r="734" spans="2:3" ht="13.5" customHeight="1" ns3:dyDescent="0.3">
      <c r="B734" s="7"/>
      <c r="C734" s="8"/>
    </row>
    <row r="735" spans="2:3" ht="13.5" customHeight="1" ns3:dyDescent="0.3">
      <c r="B735" s="7"/>
      <c r="C735" s="8"/>
    </row>
    <row r="736" spans="2:3" ht="13.5" customHeight="1" ns3:dyDescent="0.3">
      <c r="B736" s="7"/>
      <c r="C736" s="8"/>
    </row>
    <row r="737" spans="2:3" ht="13.5" customHeight="1" ns3:dyDescent="0.3">
      <c r="B737" s="7"/>
      <c r="C737" s="8"/>
    </row>
    <row r="738" spans="2:3" ht="13.5" customHeight="1" ns3:dyDescent="0.3">
      <c r="B738" s="7"/>
      <c r="C738" s="8"/>
    </row>
    <row r="739" spans="2:3" ht="13.5" customHeight="1" ns3:dyDescent="0.3">
      <c r="B739" s="7"/>
      <c r="C739" s="8"/>
    </row>
    <row r="740" spans="2:3" ht="13.5" customHeight="1" ns3:dyDescent="0.3">
      <c r="B740" s="7"/>
      <c r="C740" s="8"/>
    </row>
    <row r="741" spans="2:3" ht="13.5" customHeight="1" ns3:dyDescent="0.3">
      <c r="B741" s="7"/>
      <c r="C741" s="8"/>
    </row>
    <row r="742" spans="2:3" ht="13.5" customHeight="1" ns3:dyDescent="0.3">
      <c r="B742" s="7"/>
      <c r="C742" s="8"/>
    </row>
    <row r="743" spans="2:3" ht="13.5" customHeight="1" ns3:dyDescent="0.3">
      <c r="B743" s="7"/>
      <c r="C743" s="8"/>
    </row>
    <row r="744" spans="2:3" ht="13.5" customHeight="1" ns3:dyDescent="0.3">
      <c r="B744" s="7"/>
      <c r="C744" s="8"/>
    </row>
    <row r="745" spans="2:3" ht="13.5" customHeight="1" ns3:dyDescent="0.3">
      <c r="B745" s="7"/>
      <c r="C745" s="8"/>
    </row>
    <row r="746" spans="2:3" ht="13.5" customHeight="1" ns3:dyDescent="0.3">
      <c r="B746" s="7"/>
      <c r="C746" s="8"/>
    </row>
    <row r="747" spans="2:3" ht="13.5" customHeight="1" ns3:dyDescent="0.3">
      <c r="B747" s="7"/>
      <c r="C747" s="8"/>
    </row>
    <row r="748" spans="2:3" ht="13.5" customHeight="1" ns3:dyDescent="0.3">
      <c r="B748" s="7"/>
      <c r="C748" s="8"/>
    </row>
    <row r="749" spans="2:3" ht="13.5" customHeight="1" ns3:dyDescent="0.3">
      <c r="B749" s="7"/>
      <c r="C749" s="8"/>
    </row>
    <row r="750" spans="2:3" ht="13.5" customHeight="1" ns3:dyDescent="0.3">
      <c r="B750" s="7"/>
      <c r="C750" s="8"/>
    </row>
    <row r="751" spans="2:3" ht="13.5" customHeight="1" ns3:dyDescent="0.3">
      <c r="B751" s="7"/>
      <c r="C751" s="8"/>
    </row>
    <row r="752" spans="2:3" ht="13.5" customHeight="1" ns3:dyDescent="0.3">
      <c r="B752" s="7"/>
      <c r="C752" s="8"/>
    </row>
    <row r="753" spans="2:3" ht="13.5" customHeight="1" ns3:dyDescent="0.3">
      <c r="B753" s="7"/>
      <c r="C753" s="8"/>
    </row>
    <row r="754" spans="2:3" ht="13.5" customHeight="1" ns3:dyDescent="0.3">
      <c r="B754" s="7"/>
      <c r="C754" s="8"/>
    </row>
    <row r="755" spans="2:3" ht="13.5" customHeight="1" ns3:dyDescent="0.3">
      <c r="B755" s="7"/>
      <c r="C755" s="8"/>
    </row>
    <row r="756" spans="2:3" ht="13.5" customHeight="1" ns3:dyDescent="0.3">
      <c r="B756" s="7"/>
      <c r="C756" s="8"/>
    </row>
    <row r="757" spans="2:3" ht="13.5" customHeight="1" ns3:dyDescent="0.3">
      <c r="B757" s="7"/>
      <c r="C757" s="8"/>
    </row>
    <row r="758" spans="2:3" ht="13.5" customHeight="1" ns3:dyDescent="0.3">
      <c r="B758" s="7"/>
      <c r="C758" s="8"/>
    </row>
    <row r="759" spans="2:3" ht="13.5" customHeight="1" ns3:dyDescent="0.3">
      <c r="B759" s="7"/>
      <c r="C759" s="8"/>
    </row>
    <row r="760" spans="2:3" ht="13.5" customHeight="1" ns3:dyDescent="0.3">
      <c r="B760" s="7"/>
      <c r="C760" s="8"/>
    </row>
    <row r="761" spans="2:3" ht="13.5" customHeight="1" ns3:dyDescent="0.3">
      <c r="B761" s="7"/>
      <c r="C761" s="8"/>
    </row>
    <row r="762" spans="2:3" ht="13.5" customHeight="1" ns3:dyDescent="0.3">
      <c r="B762" s="7"/>
      <c r="C762" s="8"/>
    </row>
    <row r="763" spans="2:3" ht="13.5" customHeight="1" ns3:dyDescent="0.3">
      <c r="B763" s="7"/>
      <c r="C763" s="8"/>
    </row>
    <row r="764" spans="2:3" ht="13.5" customHeight="1" ns3:dyDescent="0.3">
      <c r="B764" s="7"/>
      <c r="C764" s="8"/>
    </row>
    <row r="765" spans="2:3" ht="13.5" customHeight="1" ns3:dyDescent="0.3">
      <c r="B765" s="7"/>
      <c r="C765" s="8"/>
    </row>
    <row r="766" spans="2:3" ht="13.5" customHeight="1" ns3:dyDescent="0.3">
      <c r="B766" s="7"/>
      <c r="C766" s="8"/>
    </row>
    <row r="767" spans="2:3" ht="13.5" customHeight="1" ns3:dyDescent="0.3">
      <c r="B767" s="7"/>
      <c r="C767" s="8"/>
    </row>
    <row r="768" spans="2:3" ht="13.5" customHeight="1" ns3:dyDescent="0.3">
      <c r="B768" s="7"/>
      <c r="C768" s="8"/>
    </row>
    <row r="769" spans="2:3" ht="13.5" customHeight="1" ns3:dyDescent="0.3">
      <c r="B769" s="7"/>
      <c r="C769" s="8"/>
    </row>
    <row r="770" spans="2:3" ht="13.5" customHeight="1" ns3:dyDescent="0.3">
      <c r="B770" s="7"/>
      <c r="C770" s="8"/>
    </row>
    <row r="771" spans="2:3" ht="13.5" customHeight="1" ns3:dyDescent="0.3">
      <c r="B771" s="7"/>
      <c r="C771" s="8"/>
    </row>
    <row r="772" spans="2:3" ht="13.5" customHeight="1" ns3:dyDescent="0.3">
      <c r="B772" s="7"/>
      <c r="C772" s="8"/>
    </row>
    <row r="773" spans="2:3" ht="13.5" customHeight="1" ns3:dyDescent="0.3">
      <c r="B773" s="7"/>
      <c r="C773" s="8"/>
    </row>
    <row r="774" spans="2:3" ht="13.5" customHeight="1" ns3:dyDescent="0.3">
      <c r="B774" s="7"/>
      <c r="C774" s="8"/>
    </row>
    <row r="775" spans="2:3" ht="13.5" customHeight="1" ns3:dyDescent="0.3">
      <c r="B775" s="7"/>
      <c r="C775" s="8"/>
    </row>
    <row r="776" spans="2:3" ht="13.5" customHeight="1" ns3:dyDescent="0.3">
      <c r="B776" s="7"/>
      <c r="C776" s="8"/>
    </row>
    <row r="777" spans="2:3" ht="13.5" customHeight="1" ns3:dyDescent="0.3">
      <c r="B777" s="7"/>
      <c r="C777" s="8"/>
    </row>
    <row r="778" spans="2:3" ht="13.5" customHeight="1" ns3:dyDescent="0.3">
      <c r="B778" s="7"/>
      <c r="C778" s="8"/>
    </row>
    <row r="779" spans="2:3" ht="13.5" customHeight="1" ns3:dyDescent="0.3">
      <c r="B779" s="7"/>
      <c r="C779" s="8"/>
    </row>
    <row r="780" spans="2:3" ht="13.5" customHeight="1" ns3:dyDescent="0.3">
      <c r="B780" s="7"/>
      <c r="C780" s="8"/>
    </row>
    <row r="781" spans="2:3" ht="13.5" customHeight="1" ns3:dyDescent="0.3">
      <c r="B781" s="7"/>
      <c r="C781" s="8"/>
    </row>
    <row r="782" spans="2:3" ht="13.5" customHeight="1" ns3:dyDescent="0.3">
      <c r="B782" s="7"/>
      <c r="C782" s="8"/>
    </row>
    <row r="783" spans="2:3" ht="13.5" customHeight="1" ns3:dyDescent="0.3">
      <c r="B783" s="7"/>
      <c r="C783" s="8"/>
    </row>
    <row r="784" spans="2:3" ht="13.5" customHeight="1" ns3:dyDescent="0.3">
      <c r="B784" s="7"/>
      <c r="C784" s="8"/>
    </row>
    <row r="785" spans="2:3" ht="13.5" customHeight="1" ns3:dyDescent="0.3">
      <c r="B785" s="7"/>
      <c r="C785" s="8"/>
    </row>
    <row r="786" spans="2:3" ht="13.5" customHeight="1" ns3:dyDescent="0.3">
      <c r="B786" s="7"/>
      <c r="C786" s="8"/>
    </row>
    <row r="787" spans="2:3" ht="13.5" customHeight="1" ns3:dyDescent="0.3">
      <c r="B787" s="7"/>
      <c r="C787" s="8"/>
    </row>
    <row r="788" spans="2:3" ht="13.5" customHeight="1" ns3:dyDescent="0.3">
      <c r="B788" s="7"/>
      <c r="C788" s="8"/>
    </row>
    <row r="789" spans="2:3" ht="13.5" customHeight="1" ns3:dyDescent="0.3">
      <c r="B789" s="7"/>
      <c r="C789" s="8"/>
    </row>
    <row r="790" spans="2:3" ht="13.5" customHeight="1" ns3:dyDescent="0.3">
      <c r="B790" s="7"/>
      <c r="C790" s="8"/>
    </row>
    <row r="791" spans="2:3" ht="13.5" customHeight="1" ns3:dyDescent="0.3">
      <c r="B791" s="7"/>
      <c r="C791" s="8"/>
    </row>
    <row r="792" spans="2:3" ht="13.5" customHeight="1" ns3:dyDescent="0.3">
      <c r="B792" s="7"/>
      <c r="C792" s="8"/>
    </row>
    <row r="793" spans="2:3" ht="13.5" customHeight="1" ns3:dyDescent="0.3">
      <c r="B793" s="7"/>
      <c r="C793" s="8"/>
    </row>
    <row r="794" spans="2:3" ht="13.5" customHeight="1" ns3:dyDescent="0.3">
      <c r="B794" s="7"/>
      <c r="C794" s="8"/>
    </row>
    <row r="795" spans="2:3" ht="13.5" customHeight="1" ns3:dyDescent="0.3">
      <c r="B795" s="7"/>
      <c r="C795" s="8"/>
    </row>
    <row r="796" spans="2:3" ht="13.5" customHeight="1" ns3:dyDescent="0.3">
      <c r="B796" s="7"/>
      <c r="C796" s="8"/>
    </row>
    <row r="797" spans="2:3" ht="13.5" customHeight="1" ns3:dyDescent="0.3">
      <c r="B797" s="7"/>
      <c r="C797" s="8"/>
    </row>
    <row r="798" spans="2:3" ht="13.5" customHeight="1" ns3:dyDescent="0.3">
      <c r="B798" s="7"/>
      <c r="C798" s="8"/>
    </row>
    <row r="799" spans="2:3" ht="13.5" customHeight="1" ns3:dyDescent="0.3">
      <c r="B799" s="7"/>
      <c r="C799" s="8"/>
    </row>
    <row r="800" spans="2:3" ht="13.5" customHeight="1" ns3:dyDescent="0.3">
      <c r="B800" s="7"/>
      <c r="C800" s="8"/>
    </row>
    <row r="801" spans="2:3" ht="13.5" customHeight="1" ns3:dyDescent="0.3">
      <c r="B801" s="7"/>
      <c r="C801" s="8"/>
    </row>
    <row r="802" spans="2:3" ht="13.5" customHeight="1" ns3:dyDescent="0.3">
      <c r="B802" s="7"/>
      <c r="C802" s="8"/>
    </row>
    <row r="803" spans="2:3" ht="13.5" customHeight="1" ns3:dyDescent="0.3">
      <c r="B803" s="7"/>
      <c r="C803" s="8"/>
    </row>
    <row r="804" spans="2:3" ht="13.5" customHeight="1" ns3:dyDescent="0.3">
      <c r="B804" s="7"/>
      <c r="C804" s="8"/>
    </row>
    <row r="805" spans="2:3" ht="13.5" customHeight="1" ns3:dyDescent="0.3">
      <c r="B805" s="7"/>
      <c r="C805" s="8"/>
    </row>
    <row r="806" spans="2:3" ht="13.5" customHeight="1" ns3:dyDescent="0.3">
      <c r="B806" s="7"/>
      <c r="C806" s="8"/>
    </row>
    <row r="807" spans="2:3" ht="13.5" customHeight="1" ns3:dyDescent="0.3">
      <c r="B807" s="7"/>
      <c r="C807" s="8"/>
    </row>
    <row r="808" spans="2:3" ht="13.5" customHeight="1" ns3:dyDescent="0.3">
      <c r="B808" s="7"/>
      <c r="C808" s="8"/>
    </row>
    <row r="809" spans="2:3" ht="13.5" customHeight="1" ns3:dyDescent="0.3">
      <c r="B809" s="7"/>
      <c r="C809" s="8"/>
    </row>
    <row r="810" spans="2:3" ht="13.5" customHeight="1" ns3:dyDescent="0.3">
      <c r="B810" s="7"/>
      <c r="C810" s="8"/>
    </row>
    <row r="811" spans="2:3" ht="13.5" customHeight="1" ns3:dyDescent="0.3">
      <c r="B811" s="7"/>
      <c r="C811" s="8"/>
    </row>
    <row r="812" spans="2:3" ht="13.5" customHeight="1" ns3:dyDescent="0.3">
      <c r="B812" s="7"/>
      <c r="C812" s="8"/>
    </row>
    <row r="813" spans="2:3" ht="13.5" customHeight="1" ns3:dyDescent="0.3">
      <c r="B813" s="7"/>
      <c r="C813" s="8"/>
    </row>
    <row r="814" spans="2:3" ht="13.5" customHeight="1" ns3:dyDescent="0.3">
      <c r="B814" s="7"/>
      <c r="C814" s="8"/>
    </row>
    <row r="815" spans="2:3" ht="13.5" customHeight="1" ns3:dyDescent="0.3">
      <c r="B815" s="7"/>
      <c r="C815" s="8"/>
    </row>
    <row r="816" spans="2:3" ht="13.5" customHeight="1" ns3:dyDescent="0.3">
      <c r="B816" s="7"/>
      <c r="C816" s="8"/>
    </row>
    <row r="817" spans="2:3" ht="13.5" customHeight="1" ns3:dyDescent="0.3">
      <c r="B817" s="7"/>
      <c r="C817" s="8"/>
    </row>
    <row r="818" spans="2:3" ht="13.5" customHeight="1" ns3:dyDescent="0.3">
      <c r="B818" s="7"/>
      <c r="C818" s="8"/>
    </row>
    <row r="819" spans="2:3" ht="13.5" customHeight="1" ns3:dyDescent="0.3">
      <c r="B819" s="7"/>
      <c r="C819" s="8"/>
    </row>
    <row r="820" spans="2:3" ht="13.5" customHeight="1" ns3:dyDescent="0.3">
      <c r="B820" s="7"/>
      <c r="C820" s="8"/>
    </row>
    <row r="821" spans="2:3" ht="13.5" customHeight="1" ns3:dyDescent="0.3">
      <c r="B821" s="7"/>
      <c r="C821" s="8"/>
    </row>
    <row r="822" spans="2:3" ht="13.5" customHeight="1" ns3:dyDescent="0.3">
      <c r="B822" s="7"/>
      <c r="C822" s="8"/>
    </row>
    <row r="823" spans="2:3" ht="13.5" customHeight="1" ns3:dyDescent="0.3">
      <c r="B823" s="7"/>
      <c r="C823" s="8"/>
    </row>
    <row r="824" spans="2:3" ht="13.5" customHeight="1" ns3:dyDescent="0.3">
      <c r="B824" s="7"/>
      <c r="C824" s="8"/>
    </row>
    <row r="825" spans="2:3" ht="13.5" customHeight="1" ns3:dyDescent="0.3">
      <c r="B825" s="7"/>
      <c r="C825" s="8"/>
    </row>
    <row r="826" spans="2:3" ht="13.5" customHeight="1" ns3:dyDescent="0.3">
      <c r="B826" s="7"/>
      <c r="C826" s="8"/>
    </row>
    <row r="827" spans="2:3" ht="13.5" customHeight="1" ns3:dyDescent="0.3">
      <c r="B827" s="7"/>
      <c r="C827" s="8"/>
    </row>
    <row r="828" spans="2:3" ht="13.5" customHeight="1" ns3:dyDescent="0.3">
      <c r="B828" s="7"/>
      <c r="C828" s="8"/>
    </row>
    <row r="829" spans="2:3" ht="13.5" customHeight="1" ns3:dyDescent="0.3">
      <c r="B829" s="7"/>
      <c r="C829" s="8"/>
    </row>
    <row r="830" spans="2:3" ht="13.5" customHeight="1" ns3:dyDescent="0.3">
      <c r="B830" s="7"/>
      <c r="C830" s="8"/>
    </row>
    <row r="831" spans="2:3" ht="13.5" customHeight="1" ns3:dyDescent="0.3">
      <c r="B831" s="7"/>
      <c r="C831" s="8"/>
    </row>
    <row r="832" spans="2:3" ht="13.5" customHeight="1" ns3:dyDescent="0.3">
      <c r="B832" s="7"/>
      <c r="C832" s="8"/>
    </row>
    <row r="833" spans="2:3" ht="13.5" customHeight="1" ns3:dyDescent="0.3">
      <c r="B833" s="7"/>
      <c r="C833" s="8"/>
    </row>
    <row r="834" spans="2:3" ht="13.5" customHeight="1" ns3:dyDescent="0.3">
      <c r="B834" s="7"/>
      <c r="C834" s="8"/>
    </row>
    <row r="835" spans="2:3" ht="13.5" customHeight="1" ns3:dyDescent="0.3">
      <c r="B835" s="7"/>
      <c r="C835" s="8"/>
    </row>
    <row r="836" spans="2:3" ht="13.5" customHeight="1" ns3:dyDescent="0.3">
      <c r="B836" s="7"/>
      <c r="C836" s="8"/>
    </row>
    <row r="837" spans="2:3" ht="13.5" customHeight="1" ns3:dyDescent="0.3">
      <c r="B837" s="7"/>
      <c r="C837" s="8"/>
    </row>
    <row r="838" spans="2:3" ht="13.5" customHeight="1" ns3:dyDescent="0.3">
      <c r="B838" s="7"/>
      <c r="C838" s="8"/>
    </row>
    <row r="839" spans="2:3" ht="13.5" customHeight="1" ns3:dyDescent="0.3">
      <c r="B839" s="7"/>
      <c r="C839" s="8"/>
    </row>
    <row r="840" spans="2:3" ht="13.5" customHeight="1" ns3:dyDescent="0.3">
      <c r="B840" s="7"/>
      <c r="C840" s="8"/>
    </row>
    <row r="841" spans="2:3" ht="13.5" customHeight="1" ns3:dyDescent="0.3">
      <c r="B841" s="7"/>
      <c r="C841" s="8"/>
    </row>
    <row r="842" spans="2:3" ht="13.5" customHeight="1" ns3:dyDescent="0.3">
      <c r="B842" s="7"/>
      <c r="C842" s="8"/>
    </row>
    <row r="843" spans="2:3" ht="13.5" customHeight="1" ns3:dyDescent="0.3">
      <c r="B843" s="7"/>
      <c r="C843" s="8"/>
    </row>
    <row r="844" spans="2:3" ht="13.5" customHeight="1" ns3:dyDescent="0.3">
      <c r="B844" s="7"/>
      <c r="C844" s="8"/>
    </row>
    <row r="845" spans="2:3" ht="13.5" customHeight="1" ns3:dyDescent="0.3">
      <c r="B845" s="7"/>
      <c r="C845" s="8"/>
    </row>
    <row r="846" spans="2:3" ht="13.5" customHeight="1" ns3:dyDescent="0.3">
      <c r="B846" s="7"/>
      <c r="C846" s="8"/>
    </row>
    <row r="847" spans="2:3" ht="13.5" customHeight="1" ns3:dyDescent="0.3">
      <c r="B847" s="7"/>
      <c r="C847" s="8"/>
    </row>
    <row r="848" spans="2:3" ht="13.5" customHeight="1" ns3:dyDescent="0.3">
      <c r="B848" s="7"/>
      <c r="C848" s="8"/>
    </row>
    <row r="849" spans="2:3" ht="13.5" customHeight="1" ns3:dyDescent="0.3">
      <c r="B849" s="7"/>
      <c r="C849" s="8"/>
    </row>
    <row r="850" spans="2:3" ht="13.5" customHeight="1" ns3:dyDescent="0.3">
      <c r="B850" s="7"/>
      <c r="C850" s="8"/>
    </row>
    <row r="851" spans="2:3" ht="13.5" customHeight="1" ns3:dyDescent="0.3">
      <c r="B851" s="7"/>
      <c r="C851" s="8"/>
    </row>
    <row r="852" spans="2:3" ht="13.5" customHeight="1" ns3:dyDescent="0.3">
      <c r="B852" s="7"/>
      <c r="C852" s="8"/>
    </row>
    <row r="853" spans="2:3" ht="13.5" customHeight="1" ns3:dyDescent="0.3">
      <c r="B853" s="7"/>
      <c r="C853" s="8"/>
    </row>
    <row r="854" spans="2:3" ht="13.5" customHeight="1" ns3:dyDescent="0.3">
      <c r="B854" s="7"/>
      <c r="C854" s="8"/>
    </row>
    <row r="855" spans="2:3" ht="13.5" customHeight="1" ns3:dyDescent="0.3">
      <c r="B855" s="7"/>
      <c r="C855" s="8"/>
    </row>
    <row r="856" spans="2:3" ht="13.5" customHeight="1" ns3:dyDescent="0.3">
      <c r="B856" s="7"/>
      <c r="C856" s="8"/>
    </row>
    <row r="857" spans="2:3" ht="13.5" customHeight="1" ns3:dyDescent="0.3">
      <c r="B857" s="7"/>
      <c r="C857" s="8"/>
    </row>
    <row r="858" spans="2:3" ht="13.5" customHeight="1" ns3:dyDescent="0.3">
      <c r="B858" s="7"/>
      <c r="C858" s="8"/>
    </row>
    <row r="859" spans="2:3" ht="13.5" customHeight="1" ns3:dyDescent="0.3">
      <c r="B859" s="7"/>
      <c r="C859" s="8"/>
    </row>
    <row r="860" spans="2:3" ht="13.5" customHeight="1" ns3:dyDescent="0.3">
      <c r="B860" s="7"/>
      <c r="C860" s="8"/>
    </row>
    <row r="861" spans="2:3" ht="13.5" customHeight="1" ns3:dyDescent="0.3">
      <c r="B861" s="7"/>
      <c r="C861" s="8"/>
    </row>
    <row r="862" spans="2:3" ht="13.5" customHeight="1" ns3:dyDescent="0.3">
      <c r="B862" s="7"/>
      <c r="C862" s="8"/>
    </row>
    <row r="863" spans="2:3" ht="13.5" customHeight="1" ns3:dyDescent="0.3">
      <c r="B863" s="7"/>
      <c r="C863" s="8"/>
    </row>
    <row r="864" spans="2:3" ht="13.5" customHeight="1" ns3:dyDescent="0.3">
      <c r="B864" s="7"/>
      <c r="C864" s="8"/>
    </row>
    <row r="865" spans="2:3" ht="13.5" customHeight="1" ns3:dyDescent="0.3">
      <c r="B865" s="7"/>
      <c r="C865" s="8"/>
    </row>
    <row r="866" spans="2:3" ht="13.5" customHeight="1" ns3:dyDescent="0.3">
      <c r="B866" s="7"/>
      <c r="C866" s="8"/>
    </row>
    <row r="867" spans="2:3" ht="13.5" customHeight="1" ns3:dyDescent="0.3">
      <c r="B867" s="7"/>
      <c r="C867" s="8"/>
    </row>
    <row r="868" spans="2:3" ht="13.5" customHeight="1" ns3:dyDescent="0.3">
      <c r="B868" s="7"/>
      <c r="C868" s="8"/>
    </row>
    <row r="869" spans="2:3" ht="13.5" customHeight="1" ns3:dyDescent="0.3">
      <c r="B869" s="7"/>
      <c r="C869" s="8"/>
    </row>
    <row r="870" spans="2:3" ht="13.5" customHeight="1" ns3:dyDescent="0.3">
      <c r="B870" s="7"/>
      <c r="C870" s="8"/>
    </row>
    <row r="871" spans="2:3" ht="13.5" customHeight="1" ns3:dyDescent="0.3">
      <c r="B871" s="7"/>
      <c r="C871" s="8"/>
    </row>
    <row r="872" spans="2:3" ht="13.5" customHeight="1" ns3:dyDescent="0.3">
      <c r="B872" s="7"/>
      <c r="C872" s="8"/>
    </row>
    <row r="873" spans="2:3" ht="13.5" customHeight="1" ns3:dyDescent="0.3">
      <c r="B873" s="7"/>
      <c r="C873" s="8"/>
    </row>
    <row r="874" spans="2:3" ht="13.5" customHeight="1" ns3:dyDescent="0.3">
      <c r="B874" s="7"/>
      <c r="C874" s="8"/>
    </row>
    <row r="875" spans="2:3" ht="13.5" customHeight="1" ns3:dyDescent="0.3">
      <c r="B875" s="7"/>
      <c r="C875" s="8"/>
    </row>
    <row r="876" spans="2:3" ht="13.5" customHeight="1" ns3:dyDescent="0.3">
      <c r="B876" s="7"/>
      <c r="C876" s="8"/>
    </row>
    <row r="877" spans="2:3" ht="13.5" customHeight="1" ns3:dyDescent="0.3">
      <c r="B877" s="7"/>
      <c r="C877" s="8"/>
    </row>
    <row r="878" spans="2:3" ht="13.5" customHeight="1" ns3:dyDescent="0.3">
      <c r="B878" s="7"/>
      <c r="C878" s="8"/>
    </row>
    <row r="879" spans="2:3" ht="13.5" customHeight="1" ns3:dyDescent="0.3">
      <c r="B879" s="7"/>
      <c r="C879" s="8"/>
    </row>
    <row r="880" spans="2:3" ht="13.5" customHeight="1" ns3:dyDescent="0.3">
      <c r="B880" s="7"/>
      <c r="C880" s="8"/>
    </row>
    <row r="881" spans="2:3" ht="13.5" customHeight="1" ns3:dyDescent="0.3">
      <c r="B881" s="7"/>
      <c r="C881" s="8"/>
    </row>
    <row r="882" spans="2:3" ht="13.5" customHeight="1" ns3:dyDescent="0.3">
      <c r="B882" s="7"/>
      <c r="C882" s="8"/>
    </row>
    <row r="883" spans="2:3" ht="13.5" customHeight="1" ns3:dyDescent="0.3">
      <c r="B883" s="7"/>
      <c r="C883" s="8"/>
    </row>
    <row r="884" spans="2:3" ht="13.5" customHeight="1" ns3:dyDescent="0.3">
      <c r="B884" s="7"/>
      <c r="C884" s="8"/>
    </row>
    <row r="885" spans="2:3" ht="13.5" customHeight="1" ns3:dyDescent="0.3">
      <c r="B885" s="7"/>
      <c r="C885" s="8"/>
    </row>
    <row r="886" spans="2:3" ht="13.5" customHeight="1" ns3:dyDescent="0.3">
      <c r="B886" s="7"/>
      <c r="C886" s="8"/>
    </row>
    <row r="887" spans="2:3" ht="13.5" customHeight="1" ns3:dyDescent="0.3">
      <c r="B887" s="7"/>
      <c r="C887" s="8"/>
    </row>
    <row r="888" spans="2:3" ht="13.5" customHeight="1" ns3:dyDescent="0.3">
      <c r="B888" s="7"/>
      <c r="C888" s="8"/>
    </row>
    <row r="889" spans="2:3" ht="13.5" customHeight="1" ns3:dyDescent="0.3">
      <c r="B889" s="7"/>
      <c r="C889" s="8"/>
    </row>
    <row r="890" spans="2:3" ht="13.5" customHeight="1" ns3:dyDescent="0.3">
      <c r="B890" s="7"/>
      <c r="C890" s="8"/>
    </row>
    <row r="891" spans="2:3" ht="13.5" customHeight="1" ns3:dyDescent="0.3">
      <c r="B891" s="7"/>
      <c r="C891" s="8"/>
    </row>
    <row r="892" spans="2:3" ht="13.5" customHeight="1" ns3:dyDescent="0.3">
      <c r="B892" s="7"/>
      <c r="C892" s="8"/>
    </row>
    <row r="893" spans="2:3" ht="13.5" customHeight="1" ns3:dyDescent="0.3">
      <c r="B893" s="7"/>
      <c r="C893" s="8"/>
    </row>
    <row r="894" spans="2:3" ht="13.5" customHeight="1" ns3:dyDescent="0.3">
      <c r="B894" s="7"/>
      <c r="C894" s="8"/>
    </row>
    <row r="895" spans="2:3" ht="13.5" customHeight="1" ns3:dyDescent="0.3">
      <c r="B895" s="7"/>
      <c r="C895" s="8"/>
    </row>
    <row r="896" spans="2:3" ht="13.5" customHeight="1" ns3:dyDescent="0.3">
      <c r="B896" s="7"/>
      <c r="C896" s="8"/>
    </row>
    <row r="897" spans="2:3" ht="13.5" customHeight="1" ns3:dyDescent="0.3">
      <c r="B897" s="7"/>
      <c r="C897" s="8"/>
    </row>
    <row r="898" spans="2:3" ht="13.5" customHeight="1" ns3:dyDescent="0.3">
      <c r="B898" s="7"/>
      <c r="C898" s="8"/>
    </row>
    <row r="899" spans="2:3" ht="13.5" customHeight="1" ns3:dyDescent="0.3">
      <c r="B899" s="7"/>
      <c r="C899" s="8"/>
    </row>
    <row r="900" spans="2:3" ht="13.5" customHeight="1" ns3:dyDescent="0.3">
      <c r="B900" s="7"/>
      <c r="C900" s="8"/>
    </row>
    <row r="901" spans="2:3" ht="13.5" customHeight="1" ns3:dyDescent="0.3">
      <c r="B901" s="7"/>
      <c r="C901" s="8"/>
    </row>
    <row r="902" spans="2:3" ht="13.5" customHeight="1" ns3:dyDescent="0.3">
      <c r="B902" s="7"/>
      <c r="C902" s="8"/>
    </row>
    <row r="903" spans="2:3" ht="13.5" customHeight="1" ns3:dyDescent="0.3">
      <c r="B903" s="7"/>
      <c r="C903" s="8"/>
    </row>
    <row r="904" spans="2:3" ht="13.5" customHeight="1" ns3:dyDescent="0.3">
      <c r="B904" s="7"/>
      <c r="C904" s="8"/>
    </row>
    <row r="905" spans="2:3" ht="13.5" customHeight="1" ns3:dyDescent="0.3">
      <c r="B905" s="7"/>
      <c r="C905" s="8"/>
    </row>
    <row r="906" spans="2:3" ht="13.5" customHeight="1" ns3:dyDescent="0.3">
      <c r="B906" s="7"/>
      <c r="C906" s="8"/>
    </row>
    <row r="907" spans="2:3" ht="13.5" customHeight="1" ns3:dyDescent="0.3">
      <c r="B907" s="7"/>
      <c r="C907" s="8"/>
    </row>
    <row r="908" spans="2:3" ht="13.5" customHeight="1" ns3:dyDescent="0.3">
      <c r="B908" s="7"/>
      <c r="C908" s="8"/>
    </row>
    <row r="909" spans="2:3" ht="13.5" customHeight="1" ns3:dyDescent="0.3">
      <c r="B909" s="7"/>
      <c r="C909" s="8"/>
    </row>
    <row r="910" spans="2:3" ht="13.5" customHeight="1" ns3:dyDescent="0.3">
      <c r="B910" s="7"/>
      <c r="C910" s="8"/>
    </row>
    <row r="911" spans="2:3" ht="13.5" customHeight="1" ns3:dyDescent="0.3">
      <c r="B911" s="7"/>
      <c r="C911" s="8"/>
    </row>
    <row r="912" spans="2:3" ht="13.5" customHeight="1" ns3:dyDescent="0.3">
      <c r="B912" s="7"/>
      <c r="C912" s="8"/>
    </row>
    <row r="913" spans="2:3" ht="13.5" customHeight="1" ns3:dyDescent="0.3">
      <c r="B913" s="7"/>
      <c r="C913" s="8"/>
    </row>
    <row r="914" spans="2:3" ht="13.5" customHeight="1" ns3:dyDescent="0.3">
      <c r="B914" s="7"/>
      <c r="C914" s="8"/>
    </row>
    <row r="915" spans="2:3" ht="13.5" customHeight="1" ns3:dyDescent="0.3">
      <c r="B915" s="7"/>
      <c r="C915" s="8"/>
    </row>
    <row r="916" spans="2:3" ht="13.5" customHeight="1" ns3:dyDescent="0.3">
      <c r="B916" s="7"/>
      <c r="C916" s="8"/>
    </row>
    <row r="917" spans="2:3" ht="13.5" customHeight="1" ns3:dyDescent="0.3">
      <c r="B917" s="7"/>
      <c r="C917" s="8"/>
    </row>
    <row r="918" spans="2:3" ht="13.5" customHeight="1" ns3:dyDescent="0.3">
      <c r="B918" s="7"/>
      <c r="C918" s="8"/>
    </row>
    <row r="919" spans="2:3" ht="13.5" customHeight="1" ns3:dyDescent="0.3">
      <c r="B919" s="7"/>
      <c r="C919" s="8"/>
    </row>
    <row r="920" spans="2:3" ht="13.5" customHeight="1" ns3:dyDescent="0.3">
      <c r="B920" s="7"/>
      <c r="C920" s="8"/>
    </row>
    <row r="921" spans="2:3" ht="13.5" customHeight="1" ns3:dyDescent="0.3">
      <c r="B921" s="7"/>
      <c r="C921" s="8"/>
    </row>
    <row r="922" spans="2:3" ht="13.5" customHeight="1" ns3:dyDescent="0.3">
      <c r="B922" s="7"/>
      <c r="C922" s="8"/>
    </row>
    <row r="923" spans="2:3" ht="13.5" customHeight="1" ns3:dyDescent="0.3">
      <c r="B923" s="7"/>
      <c r="C923" s="8"/>
    </row>
    <row r="924" spans="2:3" ht="13.5" customHeight="1" ns3:dyDescent="0.3">
      <c r="B924" s="7"/>
      <c r="C924" s="8"/>
    </row>
    <row r="925" spans="2:3" ht="13.5" customHeight="1" ns3:dyDescent="0.3">
      <c r="B925" s="7"/>
      <c r="C925" s="8"/>
    </row>
    <row r="926" spans="2:3" ht="13.5" customHeight="1" ns3:dyDescent="0.3">
      <c r="B926" s="7"/>
      <c r="C926" s="8"/>
    </row>
    <row r="927" spans="2:3" ht="13.5" customHeight="1" ns3:dyDescent="0.3">
      <c r="B927" s="7"/>
      <c r="C927" s="8"/>
    </row>
    <row r="928" spans="2:3" ht="13.5" customHeight="1" ns3:dyDescent="0.3">
      <c r="B928" s="7"/>
      <c r="C928" s="8"/>
    </row>
    <row r="929" spans="2:3" ht="13.5" customHeight="1" ns3:dyDescent="0.3">
      <c r="B929" s="7"/>
      <c r="C929" s="8"/>
    </row>
    <row r="930" spans="2:3" ht="13.5" customHeight="1" ns3:dyDescent="0.3">
      <c r="B930" s="7"/>
      <c r="C930" s="8"/>
    </row>
    <row r="931" spans="2:3" ht="13.5" customHeight="1" ns3:dyDescent="0.3">
      <c r="B931" s="7"/>
      <c r="C931" s="8"/>
    </row>
    <row r="932" spans="2:3" ht="13.5" customHeight="1" ns3:dyDescent="0.3">
      <c r="B932" s="7"/>
      <c r="C932" s="8"/>
    </row>
    <row r="933" spans="2:3" ht="13.5" customHeight="1" ns3:dyDescent="0.3">
      <c r="B933" s="7"/>
      <c r="C933" s="8"/>
    </row>
    <row r="934" spans="2:3" ht="13.5" customHeight="1" ns3:dyDescent="0.3">
      <c r="B934" s="7"/>
      <c r="C934" s="8"/>
    </row>
    <row r="935" spans="2:3" ht="13.5" customHeight="1" ns3:dyDescent="0.3">
      <c r="B935" s="7"/>
      <c r="C935" s="8"/>
    </row>
    <row r="936" spans="2:3" ht="13.5" customHeight="1" ns3:dyDescent="0.3">
      <c r="B936" s="7"/>
      <c r="C936" s="8"/>
    </row>
    <row r="937" spans="2:3" ht="13.5" customHeight="1" ns3:dyDescent="0.3">
      <c r="B937" s="7"/>
      <c r="C937" s="8"/>
    </row>
    <row r="938" spans="2:3" ht="13.5" customHeight="1" ns3:dyDescent="0.3">
      <c r="B938" s="7"/>
      <c r="C938" s="8"/>
    </row>
    <row r="939" spans="2:3" ht="13.5" customHeight="1" ns3:dyDescent="0.3">
      <c r="B939" s="7"/>
      <c r="C939" s="8"/>
    </row>
    <row r="940" spans="2:3" ht="13.5" customHeight="1" ns3:dyDescent="0.3">
      <c r="B940" s="7"/>
      <c r="C940" s="8"/>
    </row>
    <row r="941" spans="2:3" ht="13.5" customHeight="1" ns3:dyDescent="0.3">
      <c r="B941" s="7"/>
      <c r="C941" s="8"/>
    </row>
    <row r="942" spans="2:3" ht="13.5" customHeight="1" ns3:dyDescent="0.3">
      <c r="B942" s="7"/>
      <c r="C942" s="8"/>
    </row>
    <row r="943" spans="2:3" ht="13.5" customHeight="1" ns3:dyDescent="0.3">
      <c r="B943" s="7"/>
      <c r="C943" s="8"/>
    </row>
    <row r="944" spans="2:3" ht="13.5" customHeight="1" ns3:dyDescent="0.3">
      <c r="B944" s="7"/>
      <c r="C944" s="8"/>
    </row>
    <row r="945" spans="2:3" ht="13.5" customHeight="1" ns3:dyDescent="0.3">
      <c r="B945" s="7"/>
      <c r="C945" s="8"/>
    </row>
    <row r="946" spans="2:3" ht="13.5" customHeight="1" ns3:dyDescent="0.3">
      <c r="B946" s="7"/>
      <c r="C946" s="8"/>
    </row>
    <row r="947" spans="2:3" ht="13.5" customHeight="1" ns3:dyDescent="0.3">
      <c r="B947" s="7"/>
      <c r="C947" s="8"/>
    </row>
    <row r="948" spans="2:3" ht="13.5" customHeight="1" ns3:dyDescent="0.3">
      <c r="B948" s="7"/>
      <c r="C948" s="8"/>
    </row>
    <row r="949" spans="2:3" ht="13.5" customHeight="1" ns3:dyDescent="0.3">
      <c r="B949" s="7"/>
      <c r="C949" s="8"/>
    </row>
    <row r="950" spans="2:3" ht="13.5" customHeight="1" ns3:dyDescent="0.3">
      <c r="B950" s="7"/>
      <c r="C950" s="8"/>
    </row>
    <row r="951" spans="2:3" ht="13.5" customHeight="1" ns3:dyDescent="0.3">
      <c r="B951" s="7"/>
      <c r="C951" s="8"/>
    </row>
    <row r="952" spans="2:3" ht="13.5" customHeight="1" ns3:dyDescent="0.3">
      <c r="B952" s="7"/>
      <c r="C952" s="8"/>
    </row>
    <row r="953" spans="2:3" ht="13.5" customHeight="1" ns3:dyDescent="0.3">
      <c r="B953" s="7"/>
      <c r="C953" s="8"/>
    </row>
    <row r="954" spans="2:3" ht="13.5" customHeight="1" ns3:dyDescent="0.3">
      <c r="B954" s="7"/>
      <c r="C954" s="8"/>
    </row>
    <row r="955" spans="2:3" ht="13.5" customHeight="1" ns3:dyDescent="0.3">
      <c r="B955" s="7"/>
      <c r="C955" s="8"/>
    </row>
    <row r="956" spans="2:3" ht="13.5" customHeight="1" ns3:dyDescent="0.3">
      <c r="B956" s="7"/>
      <c r="C956" s="8"/>
    </row>
    <row r="957" spans="2:3" ht="13.5" customHeight="1" ns3:dyDescent="0.3">
      <c r="B957" s="7"/>
      <c r="C957" s="8"/>
    </row>
    <row r="958" spans="2:3" ht="13.5" customHeight="1" ns3:dyDescent="0.3">
      <c r="B958" s="7"/>
      <c r="C958" s="8"/>
    </row>
    <row r="959" spans="2:3" ht="13.5" customHeight="1" ns3:dyDescent="0.3">
      <c r="B959" s="7"/>
      <c r="C959" s="8"/>
    </row>
    <row r="960" spans="2:3" ht="13.5" customHeight="1" ns3:dyDescent="0.3">
      <c r="B960" s="7"/>
      <c r="C960" s="8"/>
    </row>
    <row r="961" spans="2:3" ht="13.5" customHeight="1" ns3:dyDescent="0.3">
      <c r="B961" s="7"/>
      <c r="C961" s="8"/>
    </row>
    <row r="962" spans="2:3" ht="13.5" customHeight="1" ns3:dyDescent="0.3">
      <c r="B962" s="7"/>
      <c r="C962" s="8"/>
    </row>
    <row r="963" spans="2:3" ht="13.5" customHeight="1" ns3:dyDescent="0.3">
      <c r="B963" s="7"/>
      <c r="C963" s="8"/>
    </row>
    <row r="964" spans="2:3" ht="13.5" customHeight="1" ns3:dyDescent="0.3">
      <c r="B964" s="7"/>
      <c r="C964" s="8"/>
    </row>
    <row r="965" spans="2:3" ht="13.5" customHeight="1" ns3:dyDescent="0.3">
      <c r="B965" s="7"/>
      <c r="C965" s="8"/>
    </row>
    <row r="966" spans="2:3" ht="13.5" customHeight="1" ns3:dyDescent="0.3">
      <c r="B966" s="7"/>
      <c r="C966" s="8"/>
    </row>
    <row r="967" spans="2:3" ht="13.5" customHeight="1" ns3:dyDescent="0.3">
      <c r="B967" s="7"/>
      <c r="C967" s="8"/>
    </row>
    <row r="968" spans="2:3" ht="13.5" customHeight="1" ns3:dyDescent="0.3">
      <c r="B968" s="7"/>
      <c r="C968" s="8"/>
    </row>
    <row r="969" spans="2:3" ht="13.5" customHeight="1" ns3:dyDescent="0.3">
      <c r="B969" s="7"/>
      <c r="C969" s="8"/>
    </row>
    <row r="970" spans="2:3" ht="13.5" customHeight="1" ns3:dyDescent="0.3">
      <c r="B970" s="7"/>
      <c r="C970" s="8"/>
    </row>
    <row r="971" spans="2:3" ht="13.5" customHeight="1" ns3:dyDescent="0.3">
      <c r="B971" s="7"/>
      <c r="C971" s="8"/>
    </row>
    <row r="972" spans="2:3" ht="13.5" customHeight="1" ns3:dyDescent="0.3">
      <c r="B972" s="7"/>
      <c r="C972" s="8"/>
    </row>
    <row r="973" spans="2:3" ht="13.5" customHeight="1" ns3:dyDescent="0.3">
      <c r="B973" s="7"/>
      <c r="C973" s="8"/>
    </row>
    <row r="974" spans="2:3" ht="13.5" customHeight="1" ns3:dyDescent="0.3">
      <c r="B974" s="7"/>
      <c r="C974" s="8"/>
    </row>
    <row r="975" spans="2:3" ht="13.5" customHeight="1" ns3:dyDescent="0.3">
      <c r="B975" s="7"/>
      <c r="C975" s="8"/>
    </row>
    <row r="976" spans="2:3" ht="13.5" customHeight="1" ns3:dyDescent="0.3">
      <c r="B976" s="7"/>
      <c r="C976" s="8"/>
    </row>
    <row r="977" spans="2:3" ht="13.5" customHeight="1" ns3:dyDescent="0.3">
      <c r="B977" s="7"/>
      <c r="C977" s="8"/>
    </row>
    <row r="978" spans="2:3" ht="13.5" customHeight="1" ns3:dyDescent="0.3">
      <c r="B978" s="7"/>
      <c r="C978" s="8"/>
    </row>
    <row r="979" spans="2:3" ht="13.5" customHeight="1" ns3:dyDescent="0.3">
      <c r="B979" s="7"/>
      <c r="C979" s="8"/>
    </row>
    <row r="980" spans="2:3" ht="13.5" customHeight="1" ns3:dyDescent="0.3">
      <c r="B980" s="7"/>
      <c r="C980" s="8"/>
    </row>
    <row r="981" spans="2:3" ht="13.5" customHeight="1" ns3:dyDescent="0.3">
      <c r="B981" s="7"/>
      <c r="C981" s="8"/>
    </row>
    <row r="982" spans="2:3" ht="13.5" customHeight="1" ns3:dyDescent="0.3">
      <c r="B982" s="7"/>
      <c r="C982" s="8"/>
    </row>
    <row r="983" spans="2:3" ht="13.5" customHeight="1" ns3:dyDescent="0.3">
      <c r="B983" s="7"/>
      <c r="C983" s="8"/>
    </row>
    <row r="984" spans="2:3" ht="13.5" customHeight="1" ns3:dyDescent="0.3">
      <c r="B984" s="7"/>
      <c r="C984" s="8"/>
    </row>
    <row r="985" spans="2:3" ht="13.5" customHeight="1" ns3:dyDescent="0.3">
      <c r="B985" s="7"/>
      <c r="C985" s="8"/>
    </row>
    <row r="986" spans="2:3" ht="13.5" customHeight="1" ns3:dyDescent="0.3">
      <c r="B986" s="7"/>
      <c r="C986" s="8"/>
    </row>
    <row r="987" spans="2:3" ht="13.5" customHeight="1" ns3:dyDescent="0.3">
      <c r="B987" s="7"/>
      <c r="C987" s="8"/>
    </row>
    <row r="988" spans="2:3" ht="13.5" customHeight="1" ns3:dyDescent="0.3">
      <c r="B988" s="7"/>
      <c r="C988" s="8"/>
    </row>
    <row r="989" spans="2:3" ht="13.5" customHeight="1" ns3:dyDescent="0.3">
      <c r="B989" s="7"/>
      <c r="C989" s="8"/>
    </row>
    <row r="990" spans="2:3" ht="13.5" customHeight="1" ns3:dyDescent="0.3">
      <c r="B990" s="7"/>
      <c r="C990" s="8"/>
    </row>
    <row r="991" spans="2:3" ht="13.5" customHeight="1" ns3:dyDescent="0.3">
      <c r="B991" s="7"/>
      <c r="C991" s="8"/>
    </row>
    <row r="992" spans="2:3" ht="13.5" customHeight="1" ns3:dyDescent="0.3">
      <c r="B992" s="7"/>
      <c r="C992" s="8"/>
    </row>
    <row r="993" spans="2:3" ht="13.5" customHeight="1" ns3:dyDescent="0.3">
      <c r="B993" s="7"/>
      <c r="C993" s="8"/>
    </row>
    <row r="994" spans="2:3" ht="13.5" customHeight="1" ns3:dyDescent="0.3">
      <c r="B994" s="7"/>
      <c r="C994" s="8"/>
    </row>
    <row r="995" spans="2:3" ht="13.5" customHeight="1" ns3:dyDescent="0.3">
      <c r="B995" s="7"/>
      <c r="C995" s="8"/>
    </row>
    <row r="996" spans="2:3" ht="13.5" customHeight="1" ns3:dyDescent="0.3">
      <c r="B996" s="7"/>
      <c r="C996" s="8"/>
    </row>
    <row r="997" spans="2:3" ht="13.5" customHeight="1" ns3:dyDescent="0.3">
      <c r="B997" s="7"/>
      <c r="C997" s="8"/>
    </row>
    <row r="998" spans="2:3" ht="13.5" customHeight="1" ns3:dyDescent="0.3">
      <c r="B998" s="7"/>
      <c r="C998" s="8"/>
    </row>
    <row r="999" spans="2:3" ht="13.5" customHeight="1" ns3:dyDescent="0.3">
      <c r="B999" s="7"/>
      <c r="C999" s="8"/>
    </row>
    <row r="1000" spans="2:3" ht="13.5" customHeight="1" ns3:dyDescent="0.3">
      <c r="B1000" s="7"/>
      <c r="C1000" s="8"/>
    </row>
  </sheetData>
  <mergeCells count="240">
    <mergeCell ref="B5:C5"/>
    <mergeCell ref="K3:K6"/>
    <mergeCell ref="E4:E6"/>
    <mergeCell ref="I4:I6"/>
    <mergeCell ref="J49:K49"/>
    <mergeCell ref="AA44:AB44"/>
    <mergeCell ref="H2:H6"/>
    <mergeCell ref="J45:K45"/>
    <mergeCell ref="F5:F6"/>
    <mergeCell ref="J47:K47"/>
    <mergeCell ref="L3:U6"/>
    <mergeCell ref="J48:K48"/>
    <mergeCell ref="G4:G6"/>
    <mergeCell ref="J4:J6"/>
    <mergeCell ref="J44:K44"/>
    <mergeCell ref="J46:K46"/>
    <mergeCell ref="B53:K53"/>
    <mergeCell ref="B54:K54"/>
    <mergeCell ref="B55:K55"/>
    <mergeCell ref="B56:C56"/>
    <mergeCell ref="D56:K56"/>
    <mergeCell ref="B57:C57"/>
    <mergeCell ref="D57:K57"/>
    <mergeCell ref="B58:C58"/>
    <mergeCell ref="D58:K58"/>
    <mergeCell ref="B59:C59"/>
    <mergeCell ref="D59:K59"/>
    <mergeCell ref="B61:K61"/>
    <mergeCell ref="B62:C62"/>
    <mergeCell ref="D62:K62"/>
    <mergeCell ref="B63:C63"/>
    <mergeCell ref="D63:K63"/>
    <mergeCell ref="B64:C64"/>
    <mergeCell ref="D64:K64"/>
    <mergeCell ref="B65:C65"/>
    <mergeCell ref="D65:K65"/>
    <mergeCell ref="B67:K67"/>
    <mergeCell ref="B68:C68"/>
    <mergeCell ref="D68:K68"/>
    <mergeCell ref="B69:C69"/>
    <mergeCell ref="D69:K69"/>
    <mergeCell ref="B70:C70"/>
    <mergeCell ref="D70:K70"/>
    <mergeCell ref="B71:C71"/>
    <mergeCell ref="D71:K71"/>
    <mergeCell ref="B73:K73"/>
    <mergeCell ref="B74:C74"/>
    <mergeCell ref="D74:K74"/>
    <mergeCell ref="B75:C75"/>
    <mergeCell ref="D75:K75"/>
    <mergeCell ref="B76:C76"/>
    <mergeCell ref="D76:K76"/>
    <mergeCell ref="B77:C77"/>
    <mergeCell ref="D77:K77"/>
    <mergeCell ref="B79:K79"/>
    <mergeCell ref="B80:C80"/>
    <mergeCell ref="D80:K80"/>
    <mergeCell ref="B81:C81"/>
    <mergeCell ref="D81:K81"/>
    <mergeCell ref="B82:C82"/>
    <mergeCell ref="D82:K82"/>
    <mergeCell ref="B83:C83"/>
    <mergeCell ref="D83:K83"/>
    <mergeCell ref="B85:K85"/>
    <mergeCell ref="B86:C86"/>
    <mergeCell ref="D86:K86"/>
    <mergeCell ref="B87:C87"/>
    <mergeCell ref="D87:K87"/>
    <mergeCell ref="B88:C88"/>
    <mergeCell ref="D88:K88"/>
    <mergeCell ref="B89:C89"/>
    <mergeCell ref="D89:K89"/>
    <mergeCell ref="B91:K91"/>
    <mergeCell ref="B92:C92"/>
    <mergeCell ref="D92:K92"/>
    <mergeCell ref="B93:C93"/>
    <mergeCell ref="D93:K93"/>
    <mergeCell ref="B94:C94"/>
    <mergeCell ref="D94:K94"/>
    <mergeCell ref="B95:C95"/>
    <mergeCell ref="D95:K95"/>
    <mergeCell ref="B97:K97"/>
    <mergeCell ref="B98:C98"/>
    <mergeCell ref="D98:K98"/>
    <mergeCell ref="B99:C99"/>
    <mergeCell ref="D99:K99"/>
    <mergeCell ref="B100:C100"/>
    <mergeCell ref="D100:K100"/>
    <mergeCell ref="B101:C101"/>
    <mergeCell ref="D101:K101"/>
    <mergeCell ref="B103:K103"/>
    <mergeCell ref="B104:C104"/>
    <mergeCell ref="D104:K104"/>
    <mergeCell ref="B105:C105"/>
    <mergeCell ref="D105:K105"/>
    <mergeCell ref="B106:C106"/>
    <mergeCell ref="D106:K106"/>
    <mergeCell ref="B107:C107"/>
    <mergeCell ref="D107:K107"/>
    <mergeCell ref="B109:K109"/>
    <mergeCell ref="B110:C110"/>
    <mergeCell ref="D110:K110"/>
    <mergeCell ref="B111:C111"/>
    <mergeCell ref="D111:K111"/>
    <mergeCell ref="B112:C112"/>
    <mergeCell ref="D112:K112"/>
    <mergeCell ref="B113:C113"/>
    <mergeCell ref="D113:K113"/>
    <mergeCell ref="B115:K115"/>
    <mergeCell ref="B116:C116"/>
    <mergeCell ref="D116:K116"/>
    <mergeCell ref="B117:C117"/>
    <mergeCell ref="D117:K117"/>
    <mergeCell ref="B118:C118"/>
    <mergeCell ref="D118:K118"/>
    <mergeCell ref="B119:C119"/>
    <mergeCell ref="D119:K119"/>
    <mergeCell ref="B121:K121"/>
    <mergeCell ref="B122:C122"/>
    <mergeCell ref="D122:K122"/>
    <mergeCell ref="B123:C123"/>
    <mergeCell ref="D123:K123"/>
    <mergeCell ref="B124:C124"/>
    <mergeCell ref="D124:K124"/>
    <mergeCell ref="B125:C125"/>
    <mergeCell ref="D125:K125"/>
    <mergeCell ref="B127:K127"/>
    <mergeCell ref="B128:C128"/>
    <mergeCell ref="D128:K128"/>
    <mergeCell ref="B129:C129"/>
    <mergeCell ref="D129:K129"/>
    <mergeCell ref="B130:C130"/>
    <mergeCell ref="D130:K130"/>
    <mergeCell ref="B131:C131"/>
    <mergeCell ref="D131:K131"/>
    <mergeCell ref="B133:K133"/>
    <mergeCell ref="B134:C134"/>
    <mergeCell ref="D134:K134"/>
    <mergeCell ref="B135:C135"/>
    <mergeCell ref="D135:K135"/>
    <mergeCell ref="B136:C136"/>
    <mergeCell ref="D136:K136"/>
    <mergeCell ref="B137:C137"/>
    <mergeCell ref="D137:K137"/>
    <mergeCell ref="B139:K139"/>
    <mergeCell ref="B140:C140"/>
    <mergeCell ref="D140:K140"/>
    <mergeCell ref="B141:C141"/>
    <mergeCell ref="D141:K141"/>
    <mergeCell ref="B142:C142"/>
    <mergeCell ref="D142:K142"/>
    <mergeCell ref="B143:C143"/>
    <mergeCell ref="D143:K143"/>
    <mergeCell ref="B145:K145"/>
    <mergeCell ref="B146:C146"/>
    <mergeCell ref="D146:K146"/>
    <mergeCell ref="B147:C147"/>
    <mergeCell ref="D147:K147"/>
    <mergeCell ref="B148:C148"/>
    <mergeCell ref="D148:K148"/>
    <mergeCell ref="B149:C149"/>
    <mergeCell ref="D149:K149"/>
    <mergeCell ref="B151:K151"/>
    <mergeCell ref="B152:C152"/>
    <mergeCell ref="D152:K152"/>
    <mergeCell ref="B153:C153"/>
    <mergeCell ref="D153:K153"/>
    <mergeCell ref="B154:C154"/>
    <mergeCell ref="D154:K154"/>
    <mergeCell ref="B155:C155"/>
    <mergeCell ref="D155:K155"/>
    <mergeCell ref="B157:K157"/>
    <mergeCell ref="B158:C158"/>
    <mergeCell ref="D158:K158"/>
    <mergeCell ref="B159:C159"/>
    <mergeCell ref="D159:K159"/>
    <mergeCell ref="B160:C160"/>
    <mergeCell ref="D160:K160"/>
    <mergeCell ref="B161:C161"/>
    <mergeCell ref="D161:K161"/>
    <mergeCell ref="B163:K163"/>
    <mergeCell ref="B164:C164"/>
    <mergeCell ref="D164:K164"/>
    <mergeCell ref="B165:C165"/>
    <mergeCell ref="D165:K165"/>
    <mergeCell ref="B166:C166"/>
    <mergeCell ref="D166:K166"/>
    <mergeCell ref="B167:C167"/>
    <mergeCell ref="D167:K167"/>
    <mergeCell ref="B169:K169"/>
    <mergeCell ref="B170:C170"/>
    <mergeCell ref="D170:K170"/>
    <mergeCell ref="B171:C171"/>
    <mergeCell ref="D171:K171"/>
    <mergeCell ref="B172:C172"/>
    <mergeCell ref="D172:K172"/>
    <mergeCell ref="B173:C173"/>
    <mergeCell ref="D173:K173"/>
    <mergeCell ref="B180:K180"/>
    <mergeCell ref="B181:K181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H185:J185"/>
    <mergeCell ref="H186:J186"/>
    <mergeCell ref="H187:J187"/>
    <mergeCell ref="H188:J188"/>
    <mergeCell ref="H189:J189"/>
    <mergeCell ref="H184:J184"/>
    <mergeCell ref="H190:J190"/>
    <mergeCell ref="H192:J192"/>
    <mergeCell ref="H193:J193"/>
    <mergeCell ref="H194:K195"/>
    <mergeCell ref="B213:K213"/>
    <mergeCell ref="B214:K214"/>
    <mergeCell ref="B215:K215"/>
    <mergeCell ref="B216:K216"/>
  </mergeCells>
  <pageMargins left="0.7" right="0.7" top="0.75" bottom="0.75" header="0.3" footer="0.3"/>
  <drawing ns4:id="rId1"/>
  <legacyDrawing ns4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ns1="http://schemas.openxmlformats.org/markup-compatibility/2006" xmlns:ns2="http://schemas.microsoft.com/office/spreadsheetml/2014/revision" xmlns:ns3="http://schemas.microsoft.com/office/spreadsheetml/2009/9/ac" mc:Ignorable="x14ac xr xr2 xr3" xr:uid="{00000000-0001-0000-0500-000000000000}">
  <dimension ref="B1:K1000"/>
  <sheetViews>
    <sheetView workbookViewId="0"/>
  </sheetViews>
  <sheetFormatPr defaultColWidth="14.44140625" defaultRowHeight="13.8" ns3:dyDescent="0.3"/>
  <cols>
    <col min="1" max="1" width="5.6640625" customWidth="1"/>
    <col min="2" max="26" width="8.6640625" customWidth="1"/>
  </cols>
  <sheetData>
    <row r="1" spans="2:11" ht="13.5" customHeight="1" ns3:dyDescent="0.3"/>
    <row r="2" spans="2:11" ht="13.5" customHeight="1" ns3:dyDescent="0.3"/>
    <row r="3" spans="2:11" ht="13.5" customHeight="1" ns3:dyDescent="0.3"/>
    <row r="4" spans="2:11" ht="13.5" customHeight="1" ns3:dyDescent="0.3"/>
    <row r="5" spans="2:11" ht="13.5" customHeight="1" ns3:dyDescent="0.4">
      <c r="B5" s="2" t="s">
        <v>318</v>
      </c>
    </row>
    <row r="6" spans="2:11" ht="13.5" customHeight="1" ns3:dyDescent="0.3"/>
    <row r="7" spans="2:11" ht="13.5" customHeight="1" ns3:dyDescent="0.3">
      <c r="B7" t="s">
        <v>319</v>
      </c>
    </row>
    <row r="8" spans="2:11" ht="28" customHeight="1" ns3:dyDescent="0.3">
      <c r="B8" s="245" t="inlineStr">
        <is>
          <t>Planning revision: proposed task scope; results and review acceptance remain pending.</t>
        </is>
      </c>
      <c r="C8" s="220" t="inlineStr">
        <is>
          <t>Planning revision: proposed task scope; results and review acceptance remain pending.</t>
        </is>
      </c>
      <c r="D8" s="220" t="inlineStr">
        <is>
          <t>Planning revision: proposed task scope; results and review acceptance remain pending.</t>
        </is>
      </c>
      <c r="E8" s="220" t="inlineStr">
        <is>
          <t>Planning revision: proposed task scope; results and review acceptance remain pending.</t>
        </is>
      </c>
      <c r="F8" s="220" t="inlineStr">
        <is>
          <t>Planning revision: proposed task scope; results and review acceptance remain pending.</t>
        </is>
      </c>
      <c r="G8" s="220" t="inlineStr">
        <is>
          <t>Planning revision: proposed task scope; results and review acceptance remain pending.</t>
        </is>
      </c>
      <c r="H8" s="220" t="inlineStr">
        <is>
          <t>Planning revision: proposed task scope; results and review acceptance remain pending.</t>
        </is>
      </c>
      <c r="I8" s="220" t="inlineStr">
        <is>
          <t>Planning revision: proposed task scope; results and review acceptance remain pending.</t>
        </is>
      </c>
      <c r="J8" s="220" t="inlineStr">
        <is>
          <t>Planning revision: proposed task scope; results and review acceptance remain pending.</t>
        </is>
      </c>
      <c r="K8" s="245"/>
      <c r="L8" s="220" t="inlineStr">
        <is>
          <t>Planning revision: proposed task scope; results and review acceptance remain pending.</t>
        </is>
      </c>
      <c r="M8" s="220" t="inlineStr">
        <is>
          <t>Planning revision: proposed task scope; results and review acceptance remain pending.</t>
        </is>
      </c>
      <c r="N8" s="220" t="inlineStr">
        <is>
          <t>Planning revision: proposed task scope; results and review acceptance remain pending.</t>
        </is>
      </c>
      <c r="O8" s="220" t="inlineStr">
        <is>
          <t>Planning revision: proposed task scope; results and review acceptance remain pending.</t>
        </is>
      </c>
      <c r="P8" s="220" t="inlineStr">
        <is>
          <t>Planning revision: proposed task scope; results and review acceptance remain pending.</t>
        </is>
      </c>
      <c r="Q8" s="220" t="inlineStr">
        <is>
          <t>Planning revision: proposed task scope; results and review acceptance remain pending.</t>
        </is>
      </c>
      <c r="R8" s="220" t="inlineStr">
        <is>
          <t>Planning revision: proposed task scope; results and review acceptance remain pending.</t>
        </is>
      </c>
      <c r="S8" s="220" t="inlineStr">
        <is>
          <t>Planning revision: proposed task scope; results and review acceptance remain pending.</t>
        </is>
      </c>
      <c r="T8" s="220" t="inlineStr">
        <is>
          <t>Planning revision: proposed task scope; results and review acceptance remain pending.</t>
        </is>
      </c>
      <c r="U8" s="220" t="inlineStr">
        <is>
          <t>Planning revision: proposed task scope; results and review acceptance remain pending.</t>
        </is>
      </c>
      <c r="V8" s="220" t="inlineStr">
        <is>
          <t>Planning revision: proposed task scope; results and review acceptance remain pending.</t>
        </is>
      </c>
      <c r="W8" s="220" t="inlineStr">
        <is>
          <t>Planning revision: proposed task scope; results and review acceptance remain pending.</t>
        </is>
      </c>
      <c r="X8" s="220" t="inlineStr">
        <is>
          <t>Planning revision: proposed task scope; results and review acceptance remain pending.</t>
        </is>
      </c>
      <c r="Y8" s="220" t="inlineStr">
        <is>
          <t>Planning revision: proposed task scope; results and review acceptance remain pending.</t>
        </is>
      </c>
      <c r="Z8" s="220" t="inlineStr">
        <is>
          <t>Planning revision: proposed task scope; results and review acceptance remain pending.</t>
        </is>
      </c>
    </row>
    <row r="9" spans="2:11" ht="13.5" customHeight="1" ns3:dyDescent="0.3"/>
    <row r="10" spans="2:11" ht="27" customHeight="1" ns3:dyDescent="0.3">
      <c r="B10" s="226" t="inlineStr">
        <is>
          <t>Sprint 2 plan and decisions</t>
        </is>
      </c>
      <c r="C10" s="226" t="inlineStr">
        <is>
          <t>Sprint 2 plan and decisions</t>
        </is>
      </c>
      <c r="D10" s="226" t="inlineStr">
        <is>
          <t>Sprint 2 plan and decisions</t>
        </is>
      </c>
      <c r="E10" s="226" t="inlineStr">
        <is>
          <t>Sprint 2 plan and decisions</t>
        </is>
      </c>
      <c r="F10" s="226" t="inlineStr">
        <is>
          <t>Sprint 2 plan and decisions</t>
        </is>
      </c>
      <c r="G10" s="226" t="inlineStr">
        <is>
          <t>Sprint 2 plan and decisions</t>
        </is>
      </c>
      <c r="H10" s="226" t="inlineStr">
        <is>
          <t>Sprint 2 plan and decisions</t>
        </is>
      </c>
      <c r="I10" s="226" t="inlineStr">
        <is>
          <t>Sprint 2 plan and decisions</t>
        </is>
      </c>
      <c r="J10" s="226" t="inlineStr">
        <is>
          <t>Sprint 2 plan and decisions</t>
        </is>
      </c>
      <c r="K10" s="226" t="inlineStr">
        <is>
          <t>Sprint 2 plan and decisions</t>
        </is>
      </c>
      <c r="L10" s="226" t="inlineStr">
        <is>
          <t>Sprint 2 plan and decisions</t>
        </is>
      </c>
      <c r="M10" s="226" t="inlineStr">
        <is>
          <t>Sprint 2 plan and decisions</t>
        </is>
      </c>
      <c r="N10" s="226" t="inlineStr">
        <is>
          <t>Sprint 2 plan and decisions</t>
        </is>
      </c>
      <c r="O10" s="226" t="inlineStr">
        <is>
          <t>Sprint 2 plan and decisions</t>
        </is>
      </c>
      <c r="P10" s="226" t="inlineStr">
        <is>
          <t>Sprint 2 plan and decisions</t>
        </is>
      </c>
      <c r="Q10" s="226" t="inlineStr">
        <is>
          <t>Sprint 2 plan and decisions</t>
        </is>
      </c>
      <c r="R10" s="226" t="inlineStr">
        <is>
          <t>Sprint 2 plan and decisions</t>
        </is>
      </c>
      <c r="S10" s="226" t="inlineStr">
        <is>
          <t>Sprint 2 plan and decisions</t>
        </is>
      </c>
      <c r="T10" s="226" t="inlineStr">
        <is>
          <t>Sprint 2 plan and decisions</t>
        </is>
      </c>
      <c r="U10" s="226" t="inlineStr">
        <is>
          <t>Sprint 2 plan and decisions</t>
        </is>
      </c>
      <c r="V10" s="226" t="inlineStr">
        <is>
          <t>Sprint 2 plan and decisions</t>
        </is>
      </c>
      <c r="W10" s="226" t="inlineStr">
        <is>
          <t>Sprint 2 plan and decisions</t>
        </is>
      </c>
      <c r="X10" s="226" t="inlineStr">
        <is>
          <t>Sprint 2 plan and decisions</t>
        </is>
      </c>
      <c r="Y10" s="226" t="inlineStr">
        <is>
          <t>Sprint 2 plan and decisions</t>
        </is>
      </c>
      <c r="Z10" s="226" t="inlineStr">
        <is>
          <t>Sprint 2 plan and decisions</t>
        </is>
      </c>
    </row>
    <row r="11" spans="2:11" ht="38" customHeight="1" ns3:dyDescent="0.3">
      <c r="B11" s="246" t="inlineStr">
        <is>
          <t>Database decision</t>
        </is>
      </c>
      <c r="C11" s="246" t="inlineStr">
        <is>
          <t>Database decision</t>
        </is>
      </c>
      <c r="D11" s="246" t="inlineStr">
        <is>
          <t>Database decision</t>
        </is>
      </c>
      <c r="E11" s="228" t="inlineStr">
        <is>
          <t>PostgreSQL accepted by user on 2026-10-31. Python/FastAPI remains. ORM/driver, migration tool and minimum schema slice: pending.</t>
        </is>
      </c>
      <c r="F11" s="228" t="inlineStr">
        <is>
          <t>PostgreSQL accepted by user on 2026-10-31. Python/FastAPI remains. ORM/driver, migration tool and minimum schema slice: pending.</t>
        </is>
      </c>
      <c r="G11" s="228" t="inlineStr">
        <is>
          <t>PostgreSQL accepted by user on 2026-10-31. Python/FastAPI remains. ORM/driver, migration tool and minimum schema slice: pending.</t>
        </is>
      </c>
      <c r="H11" s="228" t="inlineStr">
        <is>
          <t>PostgreSQL accepted by user on 2026-10-31. Python/FastAPI remains. ORM/driver, migration tool and minimum schema slice: pending.</t>
        </is>
      </c>
      <c r="I11" s="228" t="inlineStr">
        <is>
          <t>PostgreSQL accepted by user on 2026-10-31. Python/FastAPI remains. ORM/driver, migration tool and minimum schema slice: pending.</t>
        </is>
      </c>
      <c r="J11" s="228" t="inlineStr">
        <is>
          <t>PostgreSQL accepted by user on 2026-10-31. Python/FastAPI remains. ORM/driver, migration tool and minimum schema slice: pending.</t>
        </is>
      </c>
      <c r="K11" s="228" t="inlineStr">
        <is>
          <t>PostgreSQL accepted by user on 2026-10-31. Python/FastAPI remains. ORM/driver, migration tool and minimum schema slice: pending.</t>
        </is>
      </c>
      <c r="L11" s="228" t="inlineStr">
        <is>
          <t>PostgreSQL accepted by user on 2026-10-31. Python/FastAPI remains. ORM/driver, migration tool and minimum schema slice: pending.</t>
        </is>
      </c>
      <c r="M11" s="228" t="inlineStr">
        <is>
          <t>PostgreSQL accepted by user on 2026-10-31. Python/FastAPI remains. ORM/driver, migration tool and minimum schema slice: pending.</t>
        </is>
      </c>
      <c r="N11" s="228" t="inlineStr">
        <is>
          <t>PostgreSQL accepted by user on 2026-10-31. Python/FastAPI remains. ORM/driver, migration tool and minimum schema slice: pending.</t>
        </is>
      </c>
      <c r="O11" s="228" t="inlineStr">
        <is>
          <t>PostgreSQL accepted by user on 2026-10-31. Python/FastAPI remains. ORM/driver, migration tool and minimum schema slice: pending.</t>
        </is>
      </c>
      <c r="P11" s="228" t="inlineStr">
        <is>
          <t>PostgreSQL accepted by user on 2026-10-31. Python/FastAPI remains. ORM/driver, migration tool and minimum schema slice: pending.</t>
        </is>
      </c>
      <c r="Q11" s="228" t="inlineStr">
        <is>
          <t>PostgreSQL accepted by user on 2026-10-31. Python/FastAPI remains. ORM/driver, migration tool and minimum schema slice: pending.</t>
        </is>
      </c>
      <c r="R11" s="228" t="inlineStr">
        <is>
          <t>PostgreSQL accepted by user on 2026-10-31. Python/FastAPI remains. ORM/driver, migration tool and minimum schema slice: pending.</t>
        </is>
      </c>
      <c r="S11" s="228" t="inlineStr">
        <is>
          <t>PostgreSQL accepted by user on 2026-10-31. Python/FastAPI remains. ORM/driver, migration tool and minimum schema slice: pending.</t>
        </is>
      </c>
      <c r="T11" s="228" t="inlineStr">
        <is>
          <t>PostgreSQL accepted by user on 2026-10-31. Python/FastAPI remains. ORM/driver, migration tool and minimum schema slice: pending.</t>
        </is>
      </c>
      <c r="U11" s="228" t="inlineStr">
        <is>
          <t>PostgreSQL accepted by user on 2026-10-31. Python/FastAPI remains. ORM/driver, migration tool and minimum schema slice: pending.</t>
        </is>
      </c>
      <c r="V11" s="228" t="inlineStr">
        <is>
          <t>PostgreSQL accepted by user on 2026-10-31. Python/FastAPI remains. ORM/driver, migration tool and minimum schema slice: pending.</t>
        </is>
      </c>
      <c r="W11" s="228" t="inlineStr">
        <is>
          <t>PostgreSQL accepted by user on 2026-10-31. Python/FastAPI remains. ORM/driver, migration tool and minimum schema slice: pending.</t>
        </is>
      </c>
      <c r="X11" s="228" t="inlineStr">
        <is>
          <t>PostgreSQL accepted by user on 2026-10-31. Python/FastAPI remains. ORM/driver, migration tool and minimum schema slice: pending.</t>
        </is>
      </c>
      <c r="Y11" s="228" t="inlineStr">
        <is>
          <t>PostgreSQL accepted by user on 2026-10-31. Python/FastAPI remains. ORM/driver, migration tool and minimum schema slice: pending.</t>
        </is>
      </c>
      <c r="Z11" s="228" t="inlineStr">
        <is>
          <t>PostgreSQL accepted by user on 2026-10-31. Python/FastAPI remains. ORM/driver, migration tool and minimum schema slice: pending.</t>
        </is>
      </c>
    </row>
    <row r="12" spans="2:11" ht="38" customHeight="1" ns3:dyDescent="0.3">
      <c r="B12" s="246" t="inlineStr">
        <is>
          <t>Goal</t>
        </is>
      </c>
      <c r="C12" s="246" t="inlineStr">
        <is>
          <t>Goal</t>
        </is>
      </c>
      <c r="D12" s="246" t="inlineStr">
        <is>
          <t>Goal</t>
        </is>
      </c>
      <c r="E12" s="228" t="inlineStr">
        <is>
          <t>Authorized Python/pytest repo with frozen base/target SHAs: changed components, potential impact paths, evidence, target inventory, test mapping and retrieved context.</t>
        </is>
      </c>
      <c r="F12" s="228" t="inlineStr">
        <is>
          <t>Authorized Python/pytest repo with frozen base/target SHAs: changed components, potential impact paths, evidence, target inventory, test mapping and retrieved context.</t>
        </is>
      </c>
      <c r="G12" s="228" t="inlineStr">
        <is>
          <t>Authorized Python/pytest repo with frozen base/target SHAs: changed components, potential impact paths, evidence, target inventory, test mapping and retrieved context.</t>
        </is>
      </c>
      <c r="H12" s="228" t="inlineStr">
        <is>
          <t>Authorized Python/pytest repo with frozen base/target SHAs: changed components, potential impact paths, evidence, target inventory, test mapping and retrieved context.</t>
        </is>
      </c>
      <c r="I12" s="228" t="inlineStr">
        <is>
          <t>Authorized Python/pytest repo with frozen base/target SHAs: changed components, potential impact paths, evidence, target inventory, test mapping and retrieved context.</t>
        </is>
      </c>
      <c r="J12" s="228" t="inlineStr">
        <is>
          <t>Authorized Python/pytest repo with frozen base/target SHAs: changed components, potential impact paths, evidence, target inventory, test mapping and retrieved context.</t>
        </is>
      </c>
      <c r="K12" s="228" t="inlineStr">
        <is>
          <t>Authorized Python/pytest repo with frozen base/target SHAs: changed components, potential impact paths, evidence, target inventory, test mapping and retrieved context.</t>
        </is>
      </c>
      <c r="L12" s="228" t="inlineStr">
        <is>
          <t>Authorized Python/pytest repo with frozen base/target SHAs: changed components, potential impact paths, evidence, target inventory, test mapping and retrieved context.</t>
        </is>
      </c>
      <c r="M12" s="228" t="inlineStr">
        <is>
          <t>Authorized Python/pytest repo with frozen base/target SHAs: changed components, potential impact paths, evidence, target inventory, test mapping and retrieved context.</t>
        </is>
      </c>
      <c r="N12" s="228" t="inlineStr">
        <is>
          <t>Authorized Python/pytest repo with frozen base/target SHAs: changed components, potential impact paths, evidence, target inventory, test mapping and retrieved context.</t>
        </is>
      </c>
      <c r="O12" s="228" t="inlineStr">
        <is>
          <t>Authorized Python/pytest repo with frozen base/target SHAs: changed components, potential impact paths, evidence, target inventory, test mapping and retrieved context.</t>
        </is>
      </c>
      <c r="P12" s="228" t="inlineStr">
        <is>
          <t>Authorized Python/pytest repo with frozen base/target SHAs: changed components, potential impact paths, evidence, target inventory, test mapping and retrieved context.</t>
        </is>
      </c>
      <c r="Q12" s="228" t="inlineStr">
        <is>
          <t>Authorized Python/pytest repo with frozen base/target SHAs: changed components, potential impact paths, evidence, target inventory, test mapping and retrieved context.</t>
        </is>
      </c>
      <c r="R12" s="228" t="inlineStr">
        <is>
          <t>Authorized Python/pytest repo with frozen base/target SHAs: changed components, potential impact paths, evidence, target inventory, test mapping and retrieved context.</t>
        </is>
      </c>
      <c r="S12" s="228" t="inlineStr">
        <is>
          <t>Authorized Python/pytest repo with frozen base/target SHAs: changed components, potential impact paths, evidence, target inventory, test mapping and retrieved context.</t>
        </is>
      </c>
      <c r="T12" s="228" t="inlineStr">
        <is>
          <t>Authorized Python/pytest repo with frozen base/target SHAs: changed components, potential impact paths, evidence, target inventory, test mapping and retrieved context.</t>
        </is>
      </c>
      <c r="U12" s="228" t="inlineStr">
        <is>
          <t>Authorized Python/pytest repo with frozen base/target SHAs: changed components, potential impact paths, evidence, target inventory, test mapping and retrieved context.</t>
        </is>
      </c>
      <c r="V12" s="228" t="inlineStr">
        <is>
          <t>Authorized Python/pytest repo with frozen base/target SHAs: changed components, potential impact paths, evidence, target inventory, test mapping and retrieved context.</t>
        </is>
      </c>
      <c r="W12" s="228" t="inlineStr">
        <is>
          <t>Authorized Python/pytest repo with frozen base/target SHAs: changed components, potential impact paths, evidence, target inventory, test mapping and retrieved context.</t>
        </is>
      </c>
      <c r="X12" s="228" t="inlineStr">
        <is>
          <t>Authorized Python/pytest repo with frozen base/target SHAs: changed components, potential impact paths, evidence, target inventory, test mapping and retrieved context.</t>
        </is>
      </c>
      <c r="Y12" s="228" t="inlineStr">
        <is>
          <t>Authorized Python/pytest repo with frozen base/target SHAs: changed components, potential impact paths, evidence, target inventory, test mapping and retrieved context.</t>
        </is>
      </c>
      <c r="Z12" s="228" t="inlineStr">
        <is>
          <t>Authorized Python/pytest repo with frozen base/target SHAs: changed components, potential impact paths, evidence, target inventory, test mapping and retrieved context.</t>
        </is>
      </c>
    </row>
    <row r="13" spans="2:11" ht="38" customHeight="1" ns3:dyDescent="0.3">
      <c r="B13" s="246" t="inlineStr">
        <is>
          <t>Planned task hours</t>
        </is>
      </c>
      <c r="C13" s="246" t="inlineStr">
        <is>
          <t>Planned task hours</t>
        </is>
      </c>
      <c r="D13" s="246" t="inlineStr">
        <is>
          <t>Planned task hours</t>
        </is>
      </c>
      <c r="E13" s="228" t="n">
        <f>'Sprint 2 Backlog'!G38</f>
        <v>232</v>
      </c>
      <c r="F13" s="228" t="str"/>
      <c r="G13" s="228" t="str"/>
      <c r="H13" s="228" t="str"/>
      <c r="I13" s="228" t="str"/>
      <c r="J13" s="228" t="str"/>
      <c r="K13" s="228" t="str"/>
      <c r="L13" s="228" t="str"/>
      <c r="M13" s="228" t="str"/>
      <c r="N13" s="228" t="str"/>
      <c r="O13" s="228" t="str"/>
      <c r="P13" s="228" t="str"/>
      <c r="Q13" s="228" t="str"/>
      <c r="R13" s="228" t="str"/>
      <c r="S13" s="228" t="str"/>
      <c r="T13" s="228" t="str"/>
      <c r="U13" s="228" t="str"/>
      <c r="V13" s="228" t="str"/>
      <c r="W13" s="228" t="str"/>
      <c r="X13" s="228" t="str"/>
      <c r="Y13" s="228" t="str"/>
      <c r="Z13" s="228" t="str"/>
    </row>
    <row r="14" spans="2:11" ht="38" customHeight="1" ns3:dyDescent="0.3">
      <c r="B14" s="246" t="inlineStr">
        <is>
          <t>Proposed reserve</t>
        </is>
      </c>
      <c r="C14" s="246" t="inlineStr">
        <is>
          <t>Proposed reserve</t>
        </is>
      </c>
      <c r="D14" s="246" t="inlineStr">
        <is>
          <t>Proposed reserve</t>
        </is>
      </c>
      <c r="E14" s="228" t="n">
        <f>'Sprint 2 Backlog'!K192</f>
        <v>32</v>
      </c>
      <c r="F14" s="228" t="str"/>
      <c r="G14" s="228" t="str"/>
      <c r="H14" s="228" t="str"/>
      <c r="I14" s="228" t="str"/>
      <c r="J14" s="228" t="str"/>
      <c r="K14" s="228" t="str"/>
      <c r="L14" s="228" t="str"/>
      <c r="M14" s="228" t="str"/>
      <c r="N14" s="228" t="str"/>
      <c r="O14" s="228" t="str"/>
      <c r="P14" s="228" t="str"/>
      <c r="Q14" s="228" t="str"/>
      <c r="R14" s="228" t="str"/>
      <c r="S14" s="228" t="str"/>
      <c r="T14" s="228" t="str"/>
      <c r="U14" s="228" t="str"/>
      <c r="V14" s="228" t="str"/>
      <c r="W14" s="228" t="str"/>
      <c r="X14" s="228" t="str"/>
      <c r="Y14" s="228" t="str"/>
      <c r="Z14" s="228" t="str"/>
    </row>
    <row r="15" spans="2:11" ht="38" customHeight="1" ns3:dyDescent="0.3">
      <c r="B15" s="246" t="inlineStr">
        <is>
          <t>Resource need</t>
        </is>
      </c>
      <c r="C15" s="246" t="inlineStr">
        <is>
          <t>Resource need</t>
        </is>
      </c>
      <c r="D15" s="246" t="inlineStr">
        <is>
          <t>Resource need</t>
        </is>
      </c>
      <c r="E15" s="228" t="n">
        <f>'Sprint 2 Backlog'!K193</f>
        <v>264</v>
      </c>
      <c r="F15" s="228" t="str"/>
      <c r="G15" s="228" t="str"/>
      <c r="H15" s="228" t="str"/>
      <c r="I15" s="228" t="str"/>
      <c r="J15" s="228" t="str"/>
      <c r="K15" s="228" t="str"/>
      <c r="L15" s="228" t="str"/>
      <c r="M15" s="228" t="str"/>
      <c r="N15" s="228" t="str"/>
      <c r="O15" s="228" t="str"/>
      <c r="P15" s="228" t="str"/>
      <c r="Q15" s="228" t="str"/>
      <c r="R15" s="228" t="str"/>
      <c r="S15" s="228" t="str"/>
      <c r="T15" s="228" t="str"/>
      <c r="U15" s="228" t="str"/>
      <c r="V15" s="228" t="str"/>
      <c r="W15" s="228" t="str"/>
      <c r="X15" s="228" t="str"/>
      <c r="Y15" s="228" t="str"/>
      <c r="Z15" s="228" t="str"/>
    </row>
    <row r="16" spans="2:11" ht="38" customHeight="1" ns3:dyDescent="0.3">
      <c r="B16" s="246" t="inlineStr">
        <is>
          <t>Actual capacity</t>
        </is>
      </c>
      <c r="C16" s="246" t="inlineStr">
        <is>
          <t>Actual capacity</t>
        </is>
      </c>
      <c r="D16" s="246" t="inlineStr">
        <is>
          <t>Actual capacity</t>
        </is>
      </c>
      <c r="E16" s="228" t="inlineStr">
        <is>
          <t>Pending current member availability/commitment. Historical Project Plan assumes 300h per sprint; it does not confirm availability for this revised plan.</t>
        </is>
      </c>
      <c r="F16" s="228" t="inlineStr">
        <is>
          <t>Pending current member availability/commitment. Historical Project Plan assumes 300h per sprint; it does not confirm availability for this revised plan.</t>
        </is>
      </c>
      <c r="G16" s="228" t="inlineStr">
        <is>
          <t>Pending current member availability/commitment. Historical Project Plan assumes 300h per sprint; it does not confirm availability for this revised plan.</t>
        </is>
      </c>
      <c r="H16" s="228" t="inlineStr">
        <is>
          <t>Pending current member availability/commitment. Historical Project Plan assumes 300h per sprint; it does not confirm availability for this revised plan.</t>
        </is>
      </c>
      <c r="I16" s="228" t="inlineStr">
        <is>
          <t>Pending current member availability/commitment. Historical Project Plan assumes 300h per sprint; it does not confirm availability for this revised plan.</t>
        </is>
      </c>
      <c r="J16" s="228" t="inlineStr">
        <is>
          <t>Pending current member availability/commitment. Historical Project Plan assumes 300h per sprint; it does not confirm availability for this revised plan.</t>
        </is>
      </c>
      <c r="K16" s="228" t="inlineStr">
        <is>
          <t>Pending current member availability/commitment. Historical Project Plan assumes 300h per sprint; it does not confirm availability for this revised plan.</t>
        </is>
      </c>
      <c r="L16" s="228" t="inlineStr">
        <is>
          <t>Pending current member availability/commitment. Historical Project Plan assumes 300h per sprint; it does not confirm availability for this revised plan.</t>
        </is>
      </c>
      <c r="M16" s="228" t="inlineStr">
        <is>
          <t>Pending current member availability/commitment. Historical Project Plan assumes 300h per sprint; it does not confirm availability for this revised plan.</t>
        </is>
      </c>
      <c r="N16" s="228" t="inlineStr">
        <is>
          <t>Pending current member availability/commitment. Historical Project Plan assumes 300h per sprint; it does not confirm availability for this revised plan.</t>
        </is>
      </c>
      <c r="O16" s="228" t="inlineStr">
        <is>
          <t>Pending current member availability/commitment. Historical Project Plan assumes 300h per sprint; it does not confirm availability for this revised plan.</t>
        </is>
      </c>
      <c r="P16" s="228" t="inlineStr">
        <is>
          <t>Pending current member availability/commitment. Historical Project Plan assumes 300h per sprint; it does not confirm availability for this revised plan.</t>
        </is>
      </c>
      <c r="Q16" s="228" t="inlineStr">
        <is>
          <t>Pending current member availability/commitment. Historical Project Plan assumes 300h per sprint; it does not confirm availability for this revised plan.</t>
        </is>
      </c>
      <c r="R16" s="228" t="inlineStr">
        <is>
          <t>Pending current member availability/commitment. Historical Project Plan assumes 300h per sprint; it does not confirm availability for this revised plan.</t>
        </is>
      </c>
      <c r="S16" s="228" t="inlineStr">
        <is>
          <t>Pending current member availability/commitment. Historical Project Plan assumes 300h per sprint; it does not confirm availability for this revised plan.</t>
        </is>
      </c>
      <c r="T16" s="228" t="inlineStr">
        <is>
          <t>Pending current member availability/commitment. Historical Project Plan assumes 300h per sprint; it does not confirm availability for this revised plan.</t>
        </is>
      </c>
      <c r="U16" s="228" t="inlineStr">
        <is>
          <t>Pending current member availability/commitment. Historical Project Plan assumes 300h per sprint; it does not confirm availability for this revised plan.</t>
        </is>
      </c>
      <c r="V16" s="228" t="inlineStr">
        <is>
          <t>Pending current member availability/commitment. Historical Project Plan assumes 300h per sprint; it does not confirm availability for this revised plan.</t>
        </is>
      </c>
      <c r="W16" s="228" t="inlineStr">
        <is>
          <t>Pending current member availability/commitment. Historical Project Plan assumes 300h per sprint; it does not confirm availability for this revised plan.</t>
        </is>
      </c>
      <c r="X16" s="228" t="inlineStr">
        <is>
          <t>Pending current member availability/commitment. Historical Project Plan assumes 300h per sprint; it does not confirm availability for this revised plan.</t>
        </is>
      </c>
      <c r="Y16" s="228" t="inlineStr">
        <is>
          <t>Pending current member availability/commitment. Historical Project Plan assumes 300h per sprint; it does not confirm availability for this revised plan.</t>
        </is>
      </c>
      <c r="Z16" s="228" t="inlineStr">
        <is>
          <t>Pending current member availability/commitment. Historical Project Plan assumes 300h per sprint; it does not confirm availability for this revised plan.</t>
        </is>
      </c>
    </row>
    <row r="17" ht="38" customHeight="1" ns3:dyDescent="0.3">
      <c r="B17" s="246" t="inlineStr">
        <is>
          <t>Results / acceptance</t>
        </is>
      </c>
      <c r="C17" s="246" t="inlineStr">
        <is>
          <t>Results / acceptance</t>
        </is>
      </c>
      <c r="D17" s="246" t="inlineStr">
        <is>
          <t>Results / acceptance</t>
        </is>
      </c>
      <c r="E17" s="228" t="inlineStr">
        <is>
          <t>Not measured / pending. No implementation, benchmark accuracy, human approval or actual effort is asserted by this planning revision.</t>
        </is>
      </c>
      <c r="F17" s="228" t="inlineStr">
        <is>
          <t>Not measured / pending. No implementation, benchmark accuracy, human approval or actual effort is asserted by this planning revision.</t>
        </is>
      </c>
      <c r="G17" s="228" t="inlineStr">
        <is>
          <t>Not measured / pending. No implementation, benchmark accuracy, human approval or actual effort is asserted by this planning revision.</t>
        </is>
      </c>
      <c r="H17" s="228" t="inlineStr">
        <is>
          <t>Not measured / pending. No implementation, benchmark accuracy, human approval or actual effort is asserted by this planning revision.</t>
        </is>
      </c>
      <c r="I17" s="228" t="inlineStr">
        <is>
          <t>Not measured / pending. No implementation, benchmark accuracy, human approval or actual effort is asserted by this planning revision.</t>
        </is>
      </c>
      <c r="J17" s="228" t="inlineStr">
        <is>
          <t>Not measured / pending. No implementation, benchmark accuracy, human approval or actual effort is asserted by this planning revision.</t>
        </is>
      </c>
      <c r="K17" s="228" t="inlineStr">
        <is>
          <t>Not measured / pending. No implementation, benchmark accuracy, human approval or actual effort is asserted by this planning revision.</t>
        </is>
      </c>
      <c r="L17" s="228" t="inlineStr">
        <is>
          <t>Not measured / pending. No implementation, benchmark accuracy, human approval or actual effort is asserted by this planning revision.</t>
        </is>
      </c>
      <c r="M17" s="228" t="inlineStr">
        <is>
          <t>Not measured / pending. No implementation, benchmark accuracy, human approval or actual effort is asserted by this planning revision.</t>
        </is>
      </c>
      <c r="N17" s="228" t="inlineStr">
        <is>
          <t>Not measured / pending. No implementation, benchmark accuracy, human approval or actual effort is asserted by this planning revision.</t>
        </is>
      </c>
      <c r="O17" s="228" t="inlineStr">
        <is>
          <t>Not measured / pending. No implementation, benchmark accuracy, human approval or actual effort is asserted by this planning revision.</t>
        </is>
      </c>
      <c r="P17" s="228" t="inlineStr">
        <is>
          <t>Not measured / pending. No implementation, benchmark accuracy, human approval or actual effort is asserted by this planning revision.</t>
        </is>
      </c>
      <c r="Q17" s="228" t="inlineStr">
        <is>
          <t>Not measured / pending. No implementation, benchmark accuracy, human approval or actual effort is asserted by this planning revision.</t>
        </is>
      </c>
      <c r="R17" s="228" t="inlineStr">
        <is>
          <t>Not measured / pending. No implementation, benchmark accuracy, human approval or actual effort is asserted by this planning revision.</t>
        </is>
      </c>
      <c r="S17" s="228" t="inlineStr">
        <is>
          <t>Not measured / pending. No implementation, benchmark accuracy, human approval or actual effort is asserted by this planning revision.</t>
        </is>
      </c>
      <c r="T17" s="228" t="inlineStr">
        <is>
          <t>Not measured / pending. No implementation, benchmark accuracy, human approval or actual effort is asserted by this planning revision.</t>
        </is>
      </c>
      <c r="U17" s="228" t="inlineStr">
        <is>
          <t>Not measured / pending. No implementation, benchmark accuracy, human approval or actual effort is asserted by this planning revision.</t>
        </is>
      </c>
      <c r="V17" s="228" t="inlineStr">
        <is>
          <t>Not measured / pending. No implementation, benchmark accuracy, human approval or actual effort is asserted by this planning revision.</t>
        </is>
      </c>
      <c r="W17" s="228" t="inlineStr">
        <is>
          <t>Not measured / pending. No implementation, benchmark accuracy, human approval or actual effort is asserted by this planning revision.</t>
        </is>
      </c>
      <c r="X17" s="228" t="inlineStr">
        <is>
          <t>Not measured / pending. No implementation, benchmark accuracy, human approval or actual effort is asserted by this planning revision.</t>
        </is>
      </c>
      <c r="Y17" s="228" t="inlineStr">
        <is>
          <t>Not measured / pending. No implementation, benchmark accuracy, human approval or actual effort is asserted by this planning revision.</t>
        </is>
      </c>
      <c r="Z17" s="228" t="inlineStr">
        <is>
          <t>Not measured / pending. No implementation, benchmark accuracy, human approval or actual effort is asserted by this planning revision.</t>
        </is>
      </c>
    </row>
    <row r="18" ht="38" customHeight="1" ns3:dyDescent="0.3">
      <c r="B18" s="246" t="inlineStr">
        <is>
          <t>Baseline reconciliation</t>
        </is>
      </c>
      <c r="C18" s="246" t="inlineStr">
        <is>
          <t>Baseline reconciliation</t>
        </is>
      </c>
      <c r="D18" s="246" t="inlineStr">
        <is>
          <t>Baseline reconciliation</t>
        </is>
      </c>
      <c r="E18" s="228" t="inlineStr">
        <is>
          <t>Backlog original 13 tasks = 150h; Main previously 184h. Revised task plan = 232h. Project Plan 250h = PB-level 195h + 55h overhead; do not add these estimates together.</t>
        </is>
      </c>
      <c r="F18" s="228" t="inlineStr">
        <is>
          <t>Backlog original 13 tasks = 150h; Main previously 184h. Revised task plan = 232h. Project Plan 250h = PB-level 195h + 55h overhead; do not add these estimates together.</t>
        </is>
      </c>
      <c r="G18" s="228" t="inlineStr">
        <is>
          <t>Backlog original 13 tasks = 150h; Main previously 184h. Revised task plan = 232h. Project Plan 250h = PB-level 195h + 55h overhead; do not add these estimates together.</t>
        </is>
      </c>
      <c r="H18" s="228" t="inlineStr">
        <is>
          <t>Backlog original 13 tasks = 150h; Main previously 184h. Revised task plan = 232h. Project Plan 250h = PB-level 195h + 55h overhead; do not add these estimates together.</t>
        </is>
      </c>
      <c r="I18" s="228" t="inlineStr">
        <is>
          <t>Backlog original 13 tasks = 150h; Main previously 184h. Revised task plan = 232h. Project Plan 250h = PB-level 195h + 55h overhead; do not add these estimates together.</t>
        </is>
      </c>
      <c r="J18" s="228" t="inlineStr">
        <is>
          <t>Backlog original 13 tasks = 150h; Main previously 184h. Revised task plan = 232h. Project Plan 250h = PB-level 195h + 55h overhead; do not add these estimates together.</t>
        </is>
      </c>
      <c r="K18" s="228" t="inlineStr">
        <is>
          <t>Backlog original 13 tasks = 150h; Main previously 184h. Revised task plan = 232h. Project Plan 250h = PB-level 195h + 55h overhead; do not add these estimates together.</t>
        </is>
      </c>
      <c r="L18" s="228" t="inlineStr">
        <is>
          <t>Backlog original 13 tasks = 150h; Main previously 184h. Revised task plan = 232h. Project Plan 250h = PB-level 195h + 55h overhead; do not add these estimates together.</t>
        </is>
      </c>
      <c r="M18" s="228" t="inlineStr">
        <is>
          <t>Backlog original 13 tasks = 150h; Main previously 184h. Revised task plan = 232h. Project Plan 250h = PB-level 195h + 55h overhead; do not add these estimates together.</t>
        </is>
      </c>
      <c r="N18" s="228" t="inlineStr">
        <is>
          <t>Backlog original 13 tasks = 150h; Main previously 184h. Revised task plan = 232h. Project Plan 250h = PB-level 195h + 55h overhead; do not add these estimates together.</t>
        </is>
      </c>
      <c r="O18" s="228" t="inlineStr">
        <is>
          <t>Backlog original 13 tasks = 150h; Main previously 184h. Revised task plan = 232h. Project Plan 250h = PB-level 195h + 55h overhead; do not add these estimates together.</t>
        </is>
      </c>
      <c r="P18" s="228" t="inlineStr">
        <is>
          <t>Backlog original 13 tasks = 150h; Main previously 184h. Revised task plan = 232h. Project Plan 250h = PB-level 195h + 55h overhead; do not add these estimates together.</t>
        </is>
      </c>
      <c r="Q18" s="228" t="inlineStr">
        <is>
          <t>Backlog original 13 tasks = 150h; Main previously 184h. Revised task plan = 232h. Project Plan 250h = PB-level 195h + 55h overhead; do not add these estimates together.</t>
        </is>
      </c>
      <c r="R18" s="228" t="inlineStr">
        <is>
          <t>Backlog original 13 tasks = 150h; Main previously 184h. Revised task plan = 232h. Project Plan 250h = PB-level 195h + 55h overhead; do not add these estimates together.</t>
        </is>
      </c>
      <c r="S18" s="228" t="inlineStr">
        <is>
          <t>Backlog original 13 tasks = 150h; Main previously 184h. Revised task plan = 232h. Project Plan 250h = PB-level 195h + 55h overhead; do not add these estimates together.</t>
        </is>
      </c>
      <c r="T18" s="228" t="inlineStr">
        <is>
          <t>Backlog original 13 tasks = 150h; Main previously 184h. Revised task plan = 232h. Project Plan 250h = PB-level 195h + 55h overhead; do not add these estimates together.</t>
        </is>
      </c>
      <c r="U18" s="228" t="inlineStr">
        <is>
          <t>Backlog original 13 tasks = 150h; Main previously 184h. Revised task plan = 232h. Project Plan 250h = PB-level 195h + 55h overhead; do not add these estimates together.</t>
        </is>
      </c>
      <c r="V18" s="228" t="inlineStr">
        <is>
          <t>Backlog original 13 tasks = 150h; Main previously 184h. Revised task plan = 232h. Project Plan 250h = PB-level 195h + 55h overhead; do not add these estimates together.</t>
        </is>
      </c>
      <c r="W18" s="228" t="inlineStr">
        <is>
          <t>Backlog original 13 tasks = 150h; Main previously 184h. Revised task plan = 232h. Project Plan 250h = PB-level 195h + 55h overhead; do not add these estimates together.</t>
        </is>
      </c>
      <c r="X18" s="228" t="inlineStr">
        <is>
          <t>Backlog original 13 tasks = 150h; Main previously 184h. Revised task plan = 232h. Project Plan 250h = PB-level 195h + 55h overhead; do not add these estimates together.</t>
        </is>
      </c>
      <c r="Y18" s="228" t="inlineStr">
        <is>
          <t>Backlog original 13 tasks = 150h; Main previously 184h. Revised task plan = 232h. Project Plan 250h = PB-level 195h + 55h overhead; do not add these estimates together.</t>
        </is>
      </c>
      <c r="Z18" s="228" t="inlineStr">
        <is>
          <t>Backlog original 13 tasks = 150h; Main previously 184h. Revised task plan = 232h. Project Plan 250h = PB-level 195h + 55h overhead; do not add these estimates together.</t>
        </is>
      </c>
    </row>
    <row r="19" ht="38" customHeight="1" ns3:dyDescent="0.3">
      <c r="B19" s="246" t="inlineStr">
        <is>
          <t>Dates</t>
        </is>
      </c>
      <c r="C19" s="246" t="inlineStr">
        <is>
          <t>Dates</t>
        </is>
      </c>
      <c r="D19" s="246" t="inlineStr">
        <is>
          <t>Dates</t>
        </is>
      </c>
      <c r="E19" s="228" t="inlineStr">
        <is>
          <t>Existing workbook dates/statuses retained. Use relative three-week sequencing; no new calendar start/end dates supplied.</t>
        </is>
      </c>
      <c r="F19" s="228" t="inlineStr">
        <is>
          <t>Existing workbook dates/statuses retained. Use relative three-week sequencing; no new calendar start/end dates supplied.</t>
        </is>
      </c>
      <c r="G19" s="228" t="inlineStr">
        <is>
          <t>Existing workbook dates/statuses retained. Use relative three-week sequencing; no new calendar start/end dates supplied.</t>
        </is>
      </c>
      <c r="H19" s="228" t="inlineStr">
        <is>
          <t>Existing workbook dates/statuses retained. Use relative three-week sequencing; no new calendar start/end dates supplied.</t>
        </is>
      </c>
      <c r="I19" s="228" t="inlineStr">
        <is>
          <t>Existing workbook dates/statuses retained. Use relative three-week sequencing; no new calendar start/end dates supplied.</t>
        </is>
      </c>
      <c r="J19" s="228" t="inlineStr">
        <is>
          <t>Existing workbook dates/statuses retained. Use relative three-week sequencing; no new calendar start/end dates supplied.</t>
        </is>
      </c>
      <c r="K19" s="228" t="inlineStr">
        <is>
          <t>Existing workbook dates/statuses retained. Use relative three-week sequencing; no new calendar start/end dates supplied.</t>
        </is>
      </c>
      <c r="L19" s="228" t="inlineStr">
        <is>
          <t>Existing workbook dates/statuses retained. Use relative three-week sequencing; no new calendar start/end dates supplied.</t>
        </is>
      </c>
      <c r="M19" s="228" t="inlineStr">
        <is>
          <t>Existing workbook dates/statuses retained. Use relative three-week sequencing; no new calendar start/end dates supplied.</t>
        </is>
      </c>
      <c r="N19" s="228" t="inlineStr">
        <is>
          <t>Existing workbook dates/statuses retained. Use relative three-week sequencing; no new calendar start/end dates supplied.</t>
        </is>
      </c>
      <c r="O19" s="228" t="inlineStr">
        <is>
          <t>Existing workbook dates/statuses retained. Use relative three-week sequencing; no new calendar start/end dates supplied.</t>
        </is>
      </c>
      <c r="P19" s="228" t="inlineStr">
        <is>
          <t>Existing workbook dates/statuses retained. Use relative three-week sequencing; no new calendar start/end dates supplied.</t>
        </is>
      </c>
      <c r="Q19" s="228" t="inlineStr">
        <is>
          <t>Existing workbook dates/statuses retained. Use relative three-week sequencing; no new calendar start/end dates supplied.</t>
        </is>
      </c>
      <c r="R19" s="228" t="inlineStr">
        <is>
          <t>Existing workbook dates/statuses retained. Use relative three-week sequencing; no new calendar start/end dates supplied.</t>
        </is>
      </c>
      <c r="S19" s="228" t="inlineStr">
        <is>
          <t>Existing workbook dates/statuses retained. Use relative three-week sequencing; no new calendar start/end dates supplied.</t>
        </is>
      </c>
      <c r="T19" s="228" t="inlineStr">
        <is>
          <t>Existing workbook dates/statuses retained. Use relative three-week sequencing; no new calendar start/end dates supplied.</t>
        </is>
      </c>
      <c r="U19" s="228" t="inlineStr">
        <is>
          <t>Existing workbook dates/statuses retained. Use relative three-week sequencing; no new calendar start/end dates supplied.</t>
        </is>
      </c>
      <c r="V19" s="228" t="inlineStr">
        <is>
          <t>Existing workbook dates/statuses retained. Use relative three-week sequencing; no new calendar start/end dates supplied.</t>
        </is>
      </c>
      <c r="W19" s="228" t="inlineStr">
        <is>
          <t>Existing workbook dates/statuses retained. Use relative three-week sequencing; no new calendar start/end dates supplied.</t>
        </is>
      </c>
      <c r="X19" s="228" t="inlineStr">
        <is>
          <t>Existing workbook dates/statuses retained. Use relative three-week sequencing; no new calendar start/end dates supplied.</t>
        </is>
      </c>
      <c r="Y19" s="228" t="inlineStr">
        <is>
          <t>Existing workbook dates/statuses retained. Use relative three-week sequencing; no new calendar start/end dates supplied.</t>
        </is>
      </c>
      <c r="Z19" s="228" t="inlineStr">
        <is>
          <t>Existing workbook dates/statuses retained. Use relative three-week sequencing; no new calendar start/end dates supplied.</t>
        </is>
      </c>
    </row>
    <row r="20" ht="13.5" customHeight="1" ns3:dyDescent="0.3"/>
    <row r="21" ht="27" customHeight="1" ns3:dyDescent="0.3">
      <c r="B21" s="226" t="inlineStr">
        <is>
          <t>Dependencies and planned acceptance</t>
        </is>
      </c>
      <c r="C21" s="226" t="inlineStr">
        <is>
          <t>Dependencies and planned acceptance</t>
        </is>
      </c>
      <c r="D21" s="226" t="inlineStr">
        <is>
          <t>Dependencies and planned acceptance</t>
        </is>
      </c>
      <c r="E21" s="226" t="inlineStr">
        <is>
          <t>Dependencies and planned acceptance</t>
        </is>
      </c>
      <c r="F21" s="226" t="inlineStr">
        <is>
          <t>Dependencies and planned acceptance</t>
        </is>
      </c>
      <c r="G21" s="226" t="inlineStr">
        <is>
          <t>Dependencies and planned acceptance</t>
        </is>
      </c>
      <c r="H21" s="226" t="inlineStr">
        <is>
          <t>Dependencies and planned acceptance</t>
        </is>
      </c>
      <c r="I21" s="226" t="inlineStr">
        <is>
          <t>Dependencies and planned acceptance</t>
        </is>
      </c>
      <c r="J21" s="226" t="inlineStr">
        <is>
          <t>Dependencies and planned acceptance</t>
        </is>
      </c>
      <c r="K21" s="226" t="inlineStr">
        <is>
          <t>Dependencies and planned acceptance</t>
        </is>
      </c>
      <c r="L21" s="226" t="inlineStr">
        <is>
          <t>Dependencies and planned acceptance</t>
        </is>
      </c>
      <c r="M21" s="226" t="inlineStr">
        <is>
          <t>Dependencies and planned acceptance</t>
        </is>
      </c>
      <c r="N21" s="226" t="inlineStr">
        <is>
          <t>Dependencies and planned acceptance</t>
        </is>
      </c>
      <c r="O21" s="226" t="inlineStr">
        <is>
          <t>Dependencies and planned acceptance</t>
        </is>
      </c>
      <c r="P21" s="226" t="inlineStr">
        <is>
          <t>Dependencies and planned acceptance</t>
        </is>
      </c>
      <c r="Q21" s="226" t="inlineStr">
        <is>
          <t>Dependencies and planned acceptance</t>
        </is>
      </c>
      <c r="R21" s="226" t="inlineStr">
        <is>
          <t>Dependencies and planned acceptance</t>
        </is>
      </c>
      <c r="S21" s="226" t="inlineStr">
        <is>
          <t>Dependencies and planned acceptance</t>
        </is>
      </c>
      <c r="T21" s="226" t="inlineStr">
        <is>
          <t>Dependencies and planned acceptance</t>
        </is>
      </c>
      <c r="U21" s="226" t="inlineStr">
        <is>
          <t>Dependencies and planned acceptance</t>
        </is>
      </c>
      <c r="V21" s="226" t="inlineStr">
        <is>
          <t>Dependencies and planned acceptance</t>
        </is>
      </c>
      <c r="W21" s="226" t="inlineStr">
        <is>
          <t>Dependencies and planned acceptance</t>
        </is>
      </c>
      <c r="X21" s="226" t="inlineStr">
        <is>
          <t>Dependencies and planned acceptance</t>
        </is>
      </c>
      <c r="Y21" s="226" t="inlineStr">
        <is>
          <t>Dependencies and planned acceptance</t>
        </is>
      </c>
      <c r="Z21" s="226" t="inlineStr">
        <is>
          <t>Dependencies and planned acceptance</t>
        </is>
      </c>
    </row>
    <row r="22" ht="38" customHeight="1" ns3:dyDescent="0.3">
      <c r="B22" s="246" t="inlineStr">
        <is>
          <t>Week 1</t>
        </is>
      </c>
      <c r="C22" s="246" t="inlineStr">
        <is>
          <t>Week 1</t>
        </is>
      </c>
      <c r="D22" s="246" t="inlineStr">
        <is>
          <t>Week 1</t>
        </is>
      </c>
      <c r="E22" s="228" t="inlineStr">
        <is>
          <t>2.14 contracts; 2.15 snapshots; 2.20 minimum-schema checkpoint; retrieval decision. Start 2.13 thin workflow while graph/discovery/index interfaces develop.</t>
        </is>
      </c>
      <c r="F22" s="228" t="inlineStr">
        <is>
          <t>2.14 contracts; 2.15 snapshots; 2.20 minimum-schema checkpoint; retrieval decision. Start 2.13 thin workflow while graph/discovery/index interfaces develop.</t>
        </is>
      </c>
      <c r="G22" s="228" t="inlineStr">
        <is>
          <t>2.14 contracts; 2.15 snapshots; 2.20 minimum-schema checkpoint; retrieval decision. Start 2.13 thin workflow while graph/discovery/index interfaces develop.</t>
        </is>
      </c>
      <c r="H22" s="228" t="inlineStr">
        <is>
          <t>2.14 contracts; 2.15 snapshots; 2.20 minimum-schema checkpoint; retrieval decision. Start 2.13 thin workflow while graph/discovery/index interfaces develop.</t>
        </is>
      </c>
      <c r="I22" s="228" t="inlineStr">
        <is>
          <t>2.14 contracts; 2.15 snapshots; 2.20 minimum-schema checkpoint; retrieval decision. Start 2.13 thin workflow while graph/discovery/index interfaces develop.</t>
        </is>
      </c>
      <c r="J22" s="228" t="inlineStr">
        <is>
          <t>2.14 contracts; 2.15 snapshots; 2.20 minimum-schema checkpoint; retrieval decision. Start 2.13 thin workflow while graph/discovery/index interfaces develop.</t>
        </is>
      </c>
      <c r="K22" s="228" t="inlineStr">
        <is>
          <t>2.14 contracts; 2.15 snapshots; 2.20 minimum-schema checkpoint; retrieval decision. Start 2.13 thin workflow while graph/discovery/index interfaces develop.</t>
        </is>
      </c>
      <c r="L22" s="228" t="inlineStr">
        <is>
          <t>2.14 contracts; 2.15 snapshots; 2.20 minimum-schema checkpoint; retrieval decision. Start 2.13 thin workflow while graph/discovery/index interfaces develop.</t>
        </is>
      </c>
      <c r="M22" s="228" t="inlineStr">
        <is>
          <t>2.14 contracts; 2.15 snapshots; 2.20 minimum-schema checkpoint; retrieval decision. Start 2.13 thin workflow while graph/discovery/index interfaces develop.</t>
        </is>
      </c>
      <c r="N22" s="228" t="inlineStr">
        <is>
          <t>2.14 contracts; 2.15 snapshots; 2.20 minimum-schema checkpoint; retrieval decision. Start 2.13 thin workflow while graph/discovery/index interfaces develop.</t>
        </is>
      </c>
      <c r="O22" s="228" t="inlineStr">
        <is>
          <t>2.14 contracts; 2.15 snapshots; 2.20 minimum-schema checkpoint; retrieval decision. Start 2.13 thin workflow while graph/discovery/index interfaces develop.</t>
        </is>
      </c>
      <c r="P22" s="228" t="inlineStr">
        <is>
          <t>2.14 contracts; 2.15 snapshots; 2.20 minimum-schema checkpoint; retrieval decision. Start 2.13 thin workflow while graph/discovery/index interfaces develop.</t>
        </is>
      </c>
      <c r="Q22" s="228" t="inlineStr">
        <is>
          <t>2.14 contracts; 2.15 snapshots; 2.20 minimum-schema checkpoint; retrieval decision. Start 2.13 thin workflow while graph/discovery/index interfaces develop.</t>
        </is>
      </c>
      <c r="R22" s="228" t="inlineStr">
        <is>
          <t>2.14 contracts; 2.15 snapshots; 2.20 minimum-schema checkpoint; retrieval decision. Start 2.13 thin workflow while graph/discovery/index interfaces develop.</t>
        </is>
      </c>
      <c r="S22" s="228" t="inlineStr">
        <is>
          <t>2.14 contracts; 2.15 snapshots; 2.20 minimum-schema checkpoint; retrieval decision. Start 2.13 thin workflow while graph/discovery/index interfaces develop.</t>
        </is>
      </c>
      <c r="T22" s="228" t="inlineStr">
        <is>
          <t>2.14 contracts; 2.15 snapshots; 2.20 minimum-schema checkpoint; retrieval decision. Start 2.13 thin workflow while graph/discovery/index interfaces develop.</t>
        </is>
      </c>
      <c r="U22" s="228" t="inlineStr">
        <is>
          <t>2.14 contracts; 2.15 snapshots; 2.20 minimum-schema checkpoint; retrieval decision. Start 2.13 thin workflow while graph/discovery/index interfaces develop.</t>
        </is>
      </c>
      <c r="V22" s="228" t="inlineStr">
        <is>
          <t>2.14 contracts; 2.15 snapshots; 2.20 minimum-schema checkpoint; retrieval decision. Start 2.13 thin workflow while graph/discovery/index interfaces develop.</t>
        </is>
      </c>
      <c r="W22" s="228" t="inlineStr">
        <is>
          <t>2.14 contracts; 2.15 snapshots; 2.20 minimum-schema checkpoint; retrieval decision. Start 2.13 thin workflow while graph/discovery/index interfaces develop.</t>
        </is>
      </c>
      <c r="X22" s="228" t="inlineStr">
        <is>
          <t>2.14 contracts; 2.15 snapshots; 2.20 minimum-schema checkpoint; retrieval decision. Start 2.13 thin workflow while graph/discovery/index interfaces develop.</t>
        </is>
      </c>
      <c r="Y22" s="228" t="inlineStr">
        <is>
          <t>2.14 contracts; 2.15 snapshots; 2.20 minimum-schema checkpoint; retrieval decision. Start 2.13 thin workflow while graph/discovery/index interfaces develop.</t>
        </is>
      </c>
      <c r="Z22" s="228" t="inlineStr">
        <is>
          <t>2.14 contracts; 2.15 snapshots; 2.20 minimum-schema checkpoint; retrieval decision. Start 2.13 thin workflow while graph/discovery/index interfaces develop.</t>
        </is>
      </c>
    </row>
    <row r="23" ht="38" customHeight="1" ns3:dyDescent="0.3">
      <c r="B23" s="246" t="inlineStr">
        <is>
          <t>Week 2</t>
        </is>
      </c>
      <c r="C23" s="246" t="inlineStr">
        <is>
          <t>Week 2</t>
        </is>
      </c>
      <c r="D23" s="246" t="inlineStr">
        <is>
          <t>Week 2</t>
        </is>
      </c>
      <c r="E23" s="228" t="inlineStr">
        <is>
          <t>2.01 → 2.03 → 2.04 → 2.05/2.06; 2.08/2.09 + graph → 2.16; 2.10 → 2.11 → 2.12. Connect domain persistence to 2.20 foundation as ready.</t>
        </is>
      </c>
      <c r="F23" s="228" t="inlineStr">
        <is>
          <t>2.01 → 2.03 → 2.04 → 2.05/2.06; 2.08/2.09 + graph → 2.16; 2.10 → 2.11 → 2.12. Connect domain persistence to 2.20 foundation as ready.</t>
        </is>
      </c>
      <c r="G23" s="228" t="inlineStr">
        <is>
          <t>2.01 → 2.03 → 2.04 → 2.05/2.06; 2.08/2.09 + graph → 2.16; 2.10 → 2.11 → 2.12. Connect domain persistence to 2.20 foundation as ready.</t>
        </is>
      </c>
      <c r="H23" s="228" t="inlineStr">
        <is>
          <t>2.01 → 2.03 → 2.04 → 2.05/2.06; 2.08/2.09 + graph → 2.16; 2.10 → 2.11 → 2.12. Connect domain persistence to 2.20 foundation as ready.</t>
        </is>
      </c>
      <c r="I23" s="228" t="inlineStr">
        <is>
          <t>2.01 → 2.03 → 2.04 → 2.05/2.06; 2.08/2.09 + graph → 2.16; 2.10 → 2.11 → 2.12. Connect domain persistence to 2.20 foundation as ready.</t>
        </is>
      </c>
      <c r="J23" s="228" t="inlineStr">
        <is>
          <t>2.01 → 2.03 → 2.04 → 2.05/2.06; 2.08/2.09 + graph → 2.16; 2.10 → 2.11 → 2.12. Connect domain persistence to 2.20 foundation as ready.</t>
        </is>
      </c>
      <c r="K23" s="228" t="inlineStr">
        <is>
          <t>2.01 → 2.03 → 2.04 → 2.05/2.06; 2.08/2.09 + graph → 2.16; 2.10 → 2.11 → 2.12. Connect domain persistence to 2.20 foundation as ready.</t>
        </is>
      </c>
      <c r="L23" s="228" t="inlineStr">
        <is>
          <t>2.01 → 2.03 → 2.04 → 2.05/2.06; 2.08/2.09 + graph → 2.16; 2.10 → 2.11 → 2.12. Connect domain persistence to 2.20 foundation as ready.</t>
        </is>
      </c>
      <c r="M23" s="228" t="inlineStr">
        <is>
          <t>2.01 → 2.03 → 2.04 → 2.05/2.06; 2.08/2.09 + graph → 2.16; 2.10 → 2.11 → 2.12. Connect domain persistence to 2.20 foundation as ready.</t>
        </is>
      </c>
      <c r="N23" s="228" t="inlineStr">
        <is>
          <t>2.01 → 2.03 → 2.04 → 2.05/2.06; 2.08/2.09 + graph → 2.16; 2.10 → 2.11 → 2.12. Connect domain persistence to 2.20 foundation as ready.</t>
        </is>
      </c>
      <c r="O23" s="228" t="inlineStr">
        <is>
          <t>2.01 → 2.03 → 2.04 → 2.05/2.06; 2.08/2.09 + graph → 2.16; 2.10 → 2.11 → 2.12. Connect domain persistence to 2.20 foundation as ready.</t>
        </is>
      </c>
      <c r="P23" s="228" t="inlineStr">
        <is>
          <t>2.01 → 2.03 → 2.04 → 2.05/2.06; 2.08/2.09 + graph → 2.16; 2.10 → 2.11 → 2.12. Connect domain persistence to 2.20 foundation as ready.</t>
        </is>
      </c>
      <c r="Q23" s="228" t="inlineStr">
        <is>
          <t>2.01 → 2.03 → 2.04 → 2.05/2.06; 2.08/2.09 + graph → 2.16; 2.10 → 2.11 → 2.12. Connect domain persistence to 2.20 foundation as ready.</t>
        </is>
      </c>
      <c r="R23" s="228" t="inlineStr">
        <is>
          <t>2.01 → 2.03 → 2.04 → 2.05/2.06; 2.08/2.09 + graph → 2.16; 2.10 → 2.11 → 2.12. Connect domain persistence to 2.20 foundation as ready.</t>
        </is>
      </c>
      <c r="S23" s="228" t="inlineStr">
        <is>
          <t>2.01 → 2.03 → 2.04 → 2.05/2.06; 2.08/2.09 + graph → 2.16; 2.10 → 2.11 → 2.12. Connect domain persistence to 2.20 foundation as ready.</t>
        </is>
      </c>
      <c r="T23" s="228" t="inlineStr">
        <is>
          <t>2.01 → 2.03 → 2.04 → 2.05/2.06; 2.08/2.09 + graph → 2.16; 2.10 → 2.11 → 2.12. Connect domain persistence to 2.20 foundation as ready.</t>
        </is>
      </c>
      <c r="U23" s="228" t="inlineStr">
        <is>
          <t>2.01 → 2.03 → 2.04 → 2.05/2.06; 2.08/2.09 + graph → 2.16; 2.10 → 2.11 → 2.12. Connect domain persistence to 2.20 foundation as ready.</t>
        </is>
      </c>
      <c r="V23" s="228" t="inlineStr">
        <is>
          <t>2.01 → 2.03 → 2.04 → 2.05/2.06; 2.08/2.09 + graph → 2.16; 2.10 → 2.11 → 2.12. Connect domain persistence to 2.20 foundation as ready.</t>
        </is>
      </c>
      <c r="W23" s="228" t="inlineStr">
        <is>
          <t>2.01 → 2.03 → 2.04 → 2.05/2.06; 2.08/2.09 + graph → 2.16; 2.10 → 2.11 → 2.12. Connect domain persistence to 2.20 foundation as ready.</t>
        </is>
      </c>
      <c r="X23" s="228" t="inlineStr">
        <is>
          <t>2.01 → 2.03 → 2.04 → 2.05/2.06; 2.08/2.09 + graph → 2.16; 2.10 → 2.11 → 2.12. Connect domain persistence to 2.20 foundation as ready.</t>
        </is>
      </c>
      <c r="Y23" s="228" t="inlineStr">
        <is>
          <t>2.01 → 2.03 → 2.04 → 2.05/2.06; 2.08/2.09 + graph → 2.16; 2.10 → 2.11 → 2.12. Connect domain persistence to 2.20 foundation as ready.</t>
        </is>
      </c>
      <c r="Z23" s="228" t="inlineStr">
        <is>
          <t>2.01 → 2.03 → 2.04 → 2.05/2.06; 2.08/2.09 + graph → 2.16; 2.10 → 2.11 → 2.12. Connect domain persistence to 2.20 foundation as ready.</t>
        </is>
      </c>
    </row>
    <row r="24" ht="38" customHeight="1" ns3:dyDescent="0.3">
      <c r="B24" s="246" t="inlineStr">
        <is>
          <t>Week 3</t>
        </is>
      </c>
      <c r="C24" s="246" t="inlineStr">
        <is>
          <t>Week 3</t>
        </is>
      </c>
      <c r="D24" s="246" t="inlineStr">
        <is>
          <t>Week 3</t>
        </is>
      </c>
      <c r="E24" s="228" t="inlineStr">
        <is>
          <t>2.18 real report inspection; 2.19 cross-module failures; candidate reproduction, demo and human review. 2.17 limitations are designed early and propagated continuously.</t>
        </is>
      </c>
      <c r="F24" s="228" t="inlineStr">
        <is>
          <t>2.18 real report inspection; 2.19 cross-module failures; candidate reproduction, demo and human review. 2.17 limitations are designed early and propagated continuously.</t>
        </is>
      </c>
      <c r="G24" s="228" t="inlineStr">
        <is>
          <t>2.18 real report inspection; 2.19 cross-module failures; candidate reproduction, demo and human review. 2.17 limitations are designed early and propagated continuously.</t>
        </is>
      </c>
      <c r="H24" s="228" t="inlineStr">
        <is>
          <t>2.18 real report inspection; 2.19 cross-module failures; candidate reproduction, demo and human review. 2.17 limitations are designed early and propagated continuously.</t>
        </is>
      </c>
      <c r="I24" s="228" t="inlineStr">
        <is>
          <t>2.18 real report inspection; 2.19 cross-module failures; candidate reproduction, demo and human review. 2.17 limitations are designed early and propagated continuously.</t>
        </is>
      </c>
      <c r="J24" s="228" t="inlineStr">
        <is>
          <t>2.18 real report inspection; 2.19 cross-module failures; candidate reproduction, demo and human review. 2.17 limitations are designed early and propagated continuously.</t>
        </is>
      </c>
      <c r="K24" s="228" t="inlineStr">
        <is>
          <t>2.18 real report inspection; 2.19 cross-module failures; candidate reproduction, demo and human review. 2.17 limitations are designed early and propagated continuously.</t>
        </is>
      </c>
      <c r="L24" s="228" t="inlineStr">
        <is>
          <t>2.18 real report inspection; 2.19 cross-module failures; candidate reproduction, demo and human review. 2.17 limitations are designed early and propagated continuously.</t>
        </is>
      </c>
      <c r="M24" s="228" t="inlineStr">
        <is>
          <t>2.18 real report inspection; 2.19 cross-module failures; candidate reproduction, demo and human review. 2.17 limitations are designed early and propagated continuously.</t>
        </is>
      </c>
      <c r="N24" s="228" t="inlineStr">
        <is>
          <t>2.18 real report inspection; 2.19 cross-module failures; candidate reproduction, demo and human review. 2.17 limitations are designed early and propagated continuously.</t>
        </is>
      </c>
      <c r="O24" s="228" t="inlineStr">
        <is>
          <t>2.18 real report inspection; 2.19 cross-module failures; candidate reproduction, demo and human review. 2.17 limitations are designed early and propagated continuously.</t>
        </is>
      </c>
      <c r="P24" s="228" t="inlineStr">
        <is>
          <t>2.18 real report inspection; 2.19 cross-module failures; candidate reproduction, demo and human review. 2.17 limitations are designed early and propagated continuously.</t>
        </is>
      </c>
      <c r="Q24" s="228" t="inlineStr">
        <is>
          <t>2.18 real report inspection; 2.19 cross-module failures; candidate reproduction, demo and human review. 2.17 limitations are designed early and propagated continuously.</t>
        </is>
      </c>
      <c r="R24" s="228" t="inlineStr">
        <is>
          <t>2.18 real report inspection; 2.19 cross-module failures; candidate reproduction, demo and human review. 2.17 limitations are designed early and propagated continuously.</t>
        </is>
      </c>
      <c r="S24" s="228" t="inlineStr">
        <is>
          <t>2.18 real report inspection; 2.19 cross-module failures; candidate reproduction, demo and human review. 2.17 limitations are designed early and propagated continuously.</t>
        </is>
      </c>
      <c r="T24" s="228" t="inlineStr">
        <is>
          <t>2.18 real report inspection; 2.19 cross-module failures; candidate reproduction, demo and human review. 2.17 limitations are designed early and propagated continuously.</t>
        </is>
      </c>
      <c r="U24" s="228" t="inlineStr">
        <is>
          <t>2.18 real report inspection; 2.19 cross-module failures; candidate reproduction, demo and human review. 2.17 limitations are designed early and propagated continuously.</t>
        </is>
      </c>
      <c r="V24" s="228" t="inlineStr">
        <is>
          <t>2.18 real report inspection; 2.19 cross-module failures; candidate reproduction, demo and human review. 2.17 limitations are designed early and propagated continuously.</t>
        </is>
      </c>
      <c r="W24" s="228" t="inlineStr">
        <is>
          <t>2.18 real report inspection; 2.19 cross-module failures; candidate reproduction, demo and human review. 2.17 limitations are designed early and propagated continuously.</t>
        </is>
      </c>
      <c r="X24" s="228" t="inlineStr">
        <is>
          <t>2.18 real report inspection; 2.19 cross-module failures; candidate reproduction, demo and human review. 2.17 limitations are designed early and propagated continuously.</t>
        </is>
      </c>
      <c r="Y24" s="228" t="inlineStr">
        <is>
          <t>2.18 real report inspection; 2.19 cross-module failures; candidate reproduction, demo and human review. 2.17 limitations are designed early and propagated continuously.</t>
        </is>
      </c>
      <c r="Z24" s="228" t="inlineStr">
        <is>
          <t>2.18 real report inspection; 2.19 cross-module failures; candidate reproduction, demo and human review. 2.17 limitations are designed early and propagated continuously.</t>
        </is>
      </c>
    </row>
    <row r="25" ht="38" customHeight="1" ns3:dyDescent="0.3">
      <c r="B25" s="246" t="inlineStr">
        <is>
          <t>Dependency boundary</t>
        </is>
      </c>
      <c r="C25" s="246" t="inlineStr">
        <is>
          <t>Dependency boundary</t>
        </is>
      </c>
      <c r="D25" s="246" t="inlineStr">
        <is>
          <t>Dependency boundary</t>
        </is>
      </c>
      <c r="E25" s="228" t="inlineStr">
        <is>
          <t>Design/interface readiness may unblock work before implementation is complete. 2.13 integrates incrementally; 2.19 tests integrated boundaries. Avoid circular all-stage dependencies.</t>
        </is>
      </c>
      <c r="F25" s="228" t="inlineStr">
        <is>
          <t>Design/interface readiness may unblock work before implementation is complete. 2.13 integrates incrementally; 2.19 tests integrated boundaries. Avoid circular all-stage dependencies.</t>
        </is>
      </c>
      <c r="G25" s="228" t="inlineStr">
        <is>
          <t>Design/interface readiness may unblock work before implementation is complete. 2.13 integrates incrementally; 2.19 tests integrated boundaries. Avoid circular all-stage dependencies.</t>
        </is>
      </c>
      <c r="H25" s="228" t="inlineStr">
        <is>
          <t>Design/interface readiness may unblock work before implementation is complete. 2.13 integrates incrementally; 2.19 tests integrated boundaries. Avoid circular all-stage dependencies.</t>
        </is>
      </c>
      <c r="I25" s="228" t="inlineStr">
        <is>
          <t>Design/interface readiness may unblock work before implementation is complete. 2.13 integrates incrementally; 2.19 tests integrated boundaries. Avoid circular all-stage dependencies.</t>
        </is>
      </c>
      <c r="J25" s="228" t="inlineStr">
        <is>
          <t>Design/interface readiness may unblock work before implementation is complete. 2.13 integrates incrementally; 2.19 tests integrated boundaries. Avoid circular all-stage dependencies.</t>
        </is>
      </c>
      <c r="K25" s="228" t="inlineStr">
        <is>
          <t>Design/interface readiness may unblock work before implementation is complete. 2.13 integrates incrementally; 2.19 tests integrated boundaries. Avoid circular all-stage dependencies.</t>
        </is>
      </c>
      <c r="L25" s="228" t="inlineStr">
        <is>
          <t>Design/interface readiness may unblock work before implementation is complete. 2.13 integrates incrementally; 2.19 tests integrated boundaries. Avoid circular all-stage dependencies.</t>
        </is>
      </c>
      <c r="M25" s="228" t="inlineStr">
        <is>
          <t>Design/interface readiness may unblock work before implementation is complete. 2.13 integrates incrementally; 2.19 tests integrated boundaries. Avoid circular all-stage dependencies.</t>
        </is>
      </c>
      <c r="N25" s="228" t="inlineStr">
        <is>
          <t>Design/interface readiness may unblock work before implementation is complete. 2.13 integrates incrementally; 2.19 tests integrated boundaries. Avoid circular all-stage dependencies.</t>
        </is>
      </c>
      <c r="O25" s="228" t="inlineStr">
        <is>
          <t>Design/interface readiness may unblock work before implementation is complete. 2.13 integrates incrementally; 2.19 tests integrated boundaries. Avoid circular all-stage dependencies.</t>
        </is>
      </c>
      <c r="P25" s="228" t="inlineStr">
        <is>
          <t>Design/interface readiness may unblock work before implementation is complete. 2.13 integrates incrementally; 2.19 tests integrated boundaries. Avoid circular all-stage dependencies.</t>
        </is>
      </c>
      <c r="Q25" s="228" t="inlineStr">
        <is>
          <t>Design/interface readiness may unblock work before implementation is complete. 2.13 integrates incrementally; 2.19 tests integrated boundaries. Avoid circular all-stage dependencies.</t>
        </is>
      </c>
      <c r="R25" s="228" t="inlineStr">
        <is>
          <t>Design/interface readiness may unblock work before implementation is complete. 2.13 integrates incrementally; 2.19 tests integrated boundaries. Avoid circular all-stage dependencies.</t>
        </is>
      </c>
      <c r="S25" s="228" t="inlineStr">
        <is>
          <t>Design/interface readiness may unblock work before implementation is complete. 2.13 integrates incrementally; 2.19 tests integrated boundaries. Avoid circular all-stage dependencies.</t>
        </is>
      </c>
      <c r="T25" s="228" t="inlineStr">
        <is>
          <t>Design/interface readiness may unblock work before implementation is complete. 2.13 integrates incrementally; 2.19 tests integrated boundaries. Avoid circular all-stage dependencies.</t>
        </is>
      </c>
      <c r="U25" s="228" t="inlineStr">
        <is>
          <t>Design/interface readiness may unblock work before implementation is complete. 2.13 integrates incrementally; 2.19 tests integrated boundaries. Avoid circular all-stage dependencies.</t>
        </is>
      </c>
      <c r="V25" s="228" t="inlineStr">
        <is>
          <t>Design/interface readiness may unblock work before implementation is complete. 2.13 integrates incrementally; 2.19 tests integrated boundaries. Avoid circular all-stage dependencies.</t>
        </is>
      </c>
      <c r="W25" s="228" t="inlineStr">
        <is>
          <t>Design/interface readiness may unblock work before implementation is complete. 2.13 integrates incrementally; 2.19 tests integrated boundaries. Avoid circular all-stage dependencies.</t>
        </is>
      </c>
      <c r="X25" s="228" t="inlineStr">
        <is>
          <t>Design/interface readiness may unblock work before implementation is complete. 2.13 integrates incrementally; 2.19 tests integrated boundaries. Avoid circular all-stage dependencies.</t>
        </is>
      </c>
      <c r="Y25" s="228" t="inlineStr">
        <is>
          <t>Design/interface readiness may unblock work before implementation is complete. 2.13 integrates incrementally; 2.19 tests integrated boundaries. Avoid circular all-stage dependencies.</t>
        </is>
      </c>
      <c r="Z25" s="228" t="inlineStr">
        <is>
          <t>Design/interface readiness may unblock work before implementation is complete. 2.13 integrates incrementally; 2.19 tests integrated boundaries. Avoid circular all-stage dependencies.</t>
        </is>
      </c>
    </row>
    <row r="26" ht="38" customHeight="1" ns3:dyDescent="0.3">
      <c r="B26" s="246" t="inlineStr">
        <is>
          <t>Planned DoD</t>
        </is>
      </c>
      <c r="C26" s="246" t="inlineStr">
        <is>
          <t>Planned DoD</t>
        </is>
      </c>
      <c r="D26" s="246" t="inlineStr">
        <is>
          <t>Planned DoD</t>
        </is>
      </c>
      <c r="E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F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G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H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I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J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K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L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M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N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O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P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Q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R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S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T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U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V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W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X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Y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  <c r="Z26" s="228" t="inlineStr">
        <is>
          <t>Task AC met, relevant checks with recorded commands/results, correct revision evidence, actual human review and updated docs. Errors/partial states stay visible. These conditions are not marked achieved.</t>
        </is>
      </c>
    </row>
    <row r="27" ht="38" customHeight="1" ns3:dyDescent="0.3">
      <c r="B27" s="246" t="inlineStr">
        <is>
          <t>Integrity</t>
        </is>
      </c>
      <c r="C27" s="246" t="inlineStr">
        <is>
          <t>Integrity</t>
        </is>
      </c>
      <c r="D27" s="246" t="inlineStr">
        <is>
          <t>Integrity</t>
        </is>
      </c>
      <c r="E27" s="228" t="inlineStr">
        <is>
          <t>Potential dependency reachability is not verified behavioral impact. Schema-valid JSON or exit 0 is insufficient business evidence. No fabricated selection/execution fields.</t>
        </is>
      </c>
      <c r="F27" s="228" t="inlineStr">
        <is>
          <t>Potential dependency reachability is not verified behavioral impact. Schema-valid JSON or exit 0 is insufficient business evidence. No fabricated selection/execution fields.</t>
        </is>
      </c>
      <c r="G27" s="228" t="inlineStr">
        <is>
          <t>Potential dependency reachability is not verified behavioral impact. Schema-valid JSON or exit 0 is insufficient business evidence. No fabricated selection/execution fields.</t>
        </is>
      </c>
      <c r="H27" s="228" t="inlineStr">
        <is>
          <t>Potential dependency reachability is not verified behavioral impact. Schema-valid JSON or exit 0 is insufficient business evidence. No fabricated selection/execution fields.</t>
        </is>
      </c>
      <c r="I27" s="228" t="inlineStr">
        <is>
          <t>Potential dependency reachability is not verified behavioral impact. Schema-valid JSON or exit 0 is insufficient business evidence. No fabricated selection/execution fields.</t>
        </is>
      </c>
      <c r="J27" s="228" t="inlineStr">
        <is>
          <t>Potential dependency reachability is not verified behavioral impact. Schema-valid JSON or exit 0 is insufficient business evidence. No fabricated selection/execution fields.</t>
        </is>
      </c>
      <c r="K27" s="228" t="inlineStr">
        <is>
          <t>Potential dependency reachability is not verified behavioral impact. Schema-valid JSON or exit 0 is insufficient business evidence. No fabricated selection/execution fields.</t>
        </is>
      </c>
      <c r="L27" s="228" t="inlineStr">
        <is>
          <t>Potential dependency reachability is not verified behavioral impact. Schema-valid JSON or exit 0 is insufficient business evidence. No fabricated selection/execution fields.</t>
        </is>
      </c>
      <c r="M27" s="228" t="inlineStr">
        <is>
          <t>Potential dependency reachability is not verified behavioral impact. Schema-valid JSON or exit 0 is insufficient business evidence. No fabricated selection/execution fields.</t>
        </is>
      </c>
      <c r="N27" s="228" t="inlineStr">
        <is>
          <t>Potential dependency reachability is not verified behavioral impact. Schema-valid JSON or exit 0 is insufficient business evidence. No fabricated selection/execution fields.</t>
        </is>
      </c>
      <c r="O27" s="228" t="inlineStr">
        <is>
          <t>Potential dependency reachability is not verified behavioral impact. Schema-valid JSON or exit 0 is insufficient business evidence. No fabricated selection/execution fields.</t>
        </is>
      </c>
      <c r="P27" s="228" t="inlineStr">
        <is>
          <t>Potential dependency reachability is not verified behavioral impact. Schema-valid JSON or exit 0 is insufficient business evidence. No fabricated selection/execution fields.</t>
        </is>
      </c>
      <c r="Q27" s="228" t="inlineStr">
        <is>
          <t>Potential dependency reachability is not verified behavioral impact. Schema-valid JSON or exit 0 is insufficient business evidence. No fabricated selection/execution fields.</t>
        </is>
      </c>
      <c r="R27" s="228" t="inlineStr">
        <is>
          <t>Potential dependency reachability is not verified behavioral impact. Schema-valid JSON or exit 0 is insufficient business evidence. No fabricated selection/execution fields.</t>
        </is>
      </c>
      <c r="S27" s="228" t="inlineStr">
        <is>
          <t>Potential dependency reachability is not verified behavioral impact. Schema-valid JSON or exit 0 is insufficient business evidence. No fabricated selection/execution fields.</t>
        </is>
      </c>
      <c r="T27" s="228" t="inlineStr">
        <is>
          <t>Potential dependency reachability is not verified behavioral impact. Schema-valid JSON or exit 0 is insufficient business evidence. No fabricated selection/execution fields.</t>
        </is>
      </c>
      <c r="U27" s="228" t="inlineStr">
        <is>
          <t>Potential dependency reachability is not verified behavioral impact. Schema-valid JSON or exit 0 is insufficient business evidence. No fabricated selection/execution fields.</t>
        </is>
      </c>
      <c r="V27" s="228" t="inlineStr">
        <is>
          <t>Potential dependency reachability is not verified behavioral impact. Schema-valid JSON or exit 0 is insufficient business evidence. No fabricated selection/execution fields.</t>
        </is>
      </c>
      <c r="W27" s="228" t="inlineStr">
        <is>
          <t>Potential dependency reachability is not verified behavioral impact. Schema-valid JSON or exit 0 is insufficient business evidence. No fabricated selection/execution fields.</t>
        </is>
      </c>
      <c r="X27" s="228" t="inlineStr">
        <is>
          <t>Potential dependency reachability is not verified behavioral impact. Schema-valid JSON or exit 0 is insufficient business evidence. No fabricated selection/execution fields.</t>
        </is>
      </c>
      <c r="Y27" s="228" t="inlineStr">
        <is>
          <t>Potential dependency reachability is not verified behavioral impact. Schema-valid JSON or exit 0 is insufficient business evidence. No fabricated selection/execution fields.</t>
        </is>
      </c>
      <c r="Z27" s="228" t="inlineStr">
        <is>
          <t>Potential dependency reachability is not verified behavioral impact. Schema-valid JSON or exit 0 is insufficient business evidence. No fabricated selection/execution fields.</t>
        </is>
      </c>
    </row>
    <row r="28" ht="38" customHeight="1" ns3:dyDescent="0.3">
      <c r="B28" s="246" t="inlineStr">
        <is>
          <t>Runner and leakage</t>
        </is>
      </c>
      <c r="C28" s="246" t="inlineStr">
        <is>
          <t>Runner and leakage</t>
        </is>
      </c>
      <c r="D28" s="246" t="inlineStr">
        <is>
          <t>Runner and leakage</t>
        </is>
      </c>
      <c r="E28" s="228" t="inlineStr">
        <is>
          <t>Input code/conftest/build hooks execute only in isolated runner. No secrets, fault labels or full-suite reference outcomes enter indexing/mapping/retrieval/selection.</t>
        </is>
      </c>
      <c r="F28" s="228" t="inlineStr">
        <is>
          <t>Input code/conftest/build hooks execute only in isolated runner. No secrets, fault labels or full-suite reference outcomes enter indexing/mapping/retrieval/selection.</t>
        </is>
      </c>
      <c r="G28" s="228" t="inlineStr">
        <is>
          <t>Input code/conftest/build hooks execute only in isolated runner. No secrets, fault labels or full-suite reference outcomes enter indexing/mapping/retrieval/selection.</t>
        </is>
      </c>
      <c r="H28" s="228" t="inlineStr">
        <is>
          <t>Input code/conftest/build hooks execute only in isolated runner. No secrets, fault labels or full-suite reference outcomes enter indexing/mapping/retrieval/selection.</t>
        </is>
      </c>
      <c r="I28" s="228" t="inlineStr">
        <is>
          <t>Input code/conftest/build hooks execute only in isolated runner. No secrets, fault labels or full-suite reference outcomes enter indexing/mapping/retrieval/selection.</t>
        </is>
      </c>
      <c r="J28" s="228" t="inlineStr">
        <is>
          <t>Input code/conftest/build hooks execute only in isolated runner. No secrets, fault labels or full-suite reference outcomes enter indexing/mapping/retrieval/selection.</t>
        </is>
      </c>
      <c r="K28" s="228" t="inlineStr">
        <is>
          <t>Input code/conftest/build hooks execute only in isolated runner. No secrets, fault labels or full-suite reference outcomes enter indexing/mapping/retrieval/selection.</t>
        </is>
      </c>
      <c r="L28" s="228" t="inlineStr">
        <is>
          <t>Input code/conftest/build hooks execute only in isolated runner. No secrets, fault labels or full-suite reference outcomes enter indexing/mapping/retrieval/selection.</t>
        </is>
      </c>
      <c r="M28" s="228" t="inlineStr">
        <is>
          <t>Input code/conftest/build hooks execute only in isolated runner. No secrets, fault labels or full-suite reference outcomes enter indexing/mapping/retrieval/selection.</t>
        </is>
      </c>
      <c r="N28" s="228" t="inlineStr">
        <is>
          <t>Input code/conftest/build hooks execute only in isolated runner. No secrets, fault labels or full-suite reference outcomes enter indexing/mapping/retrieval/selection.</t>
        </is>
      </c>
      <c r="O28" s="228" t="inlineStr">
        <is>
          <t>Input code/conftest/build hooks execute only in isolated runner. No secrets, fault labels or full-suite reference outcomes enter indexing/mapping/retrieval/selection.</t>
        </is>
      </c>
      <c r="P28" s="228" t="inlineStr">
        <is>
          <t>Input code/conftest/build hooks execute only in isolated runner. No secrets, fault labels or full-suite reference outcomes enter indexing/mapping/retrieval/selection.</t>
        </is>
      </c>
      <c r="Q28" s="228" t="inlineStr">
        <is>
          <t>Input code/conftest/build hooks execute only in isolated runner. No secrets, fault labels or full-suite reference outcomes enter indexing/mapping/retrieval/selection.</t>
        </is>
      </c>
      <c r="R28" s="228" t="inlineStr">
        <is>
          <t>Input code/conftest/build hooks execute only in isolated runner. No secrets, fault labels or full-suite reference outcomes enter indexing/mapping/retrieval/selection.</t>
        </is>
      </c>
      <c r="S28" s="228" t="inlineStr">
        <is>
          <t>Input code/conftest/build hooks execute only in isolated runner. No secrets, fault labels or full-suite reference outcomes enter indexing/mapping/retrieval/selection.</t>
        </is>
      </c>
      <c r="T28" s="228" t="inlineStr">
        <is>
          <t>Input code/conftest/build hooks execute only in isolated runner. No secrets, fault labels or full-suite reference outcomes enter indexing/mapping/retrieval/selection.</t>
        </is>
      </c>
      <c r="U28" s="228" t="inlineStr">
        <is>
          <t>Input code/conftest/build hooks execute only in isolated runner. No secrets, fault labels or full-suite reference outcomes enter indexing/mapping/retrieval/selection.</t>
        </is>
      </c>
      <c r="V28" s="228" t="inlineStr">
        <is>
          <t>Input code/conftest/build hooks execute only in isolated runner. No secrets, fault labels or full-suite reference outcomes enter indexing/mapping/retrieval/selection.</t>
        </is>
      </c>
      <c r="W28" s="228" t="inlineStr">
        <is>
          <t>Input code/conftest/build hooks execute only in isolated runner. No secrets, fault labels or full-suite reference outcomes enter indexing/mapping/retrieval/selection.</t>
        </is>
      </c>
      <c r="X28" s="228" t="inlineStr">
        <is>
          <t>Input code/conftest/build hooks execute only in isolated runner. No secrets, fault labels or full-suite reference outcomes enter indexing/mapping/retrieval/selection.</t>
        </is>
      </c>
      <c r="Y28" s="228" t="inlineStr">
        <is>
          <t>Input code/conftest/build hooks execute only in isolated runner. No secrets, fault labels or full-suite reference outcomes enter indexing/mapping/retrieval/selection.</t>
        </is>
      </c>
      <c r="Z28" s="228" t="inlineStr">
        <is>
          <t>Input code/conftest/build hooks execute only in isolated runner. No secrets, fault labels or full-suite reference outcomes enter indexing/mapping/retrieval/selection.</t>
        </is>
      </c>
    </row>
    <row r="29" ht="38" customHeight="1" ns3:dyDescent="0.3">
      <c r="B29" s="246" t="inlineStr">
        <is>
          <t>UI scope</t>
        </is>
      </c>
      <c r="C29" s="246" t="inlineStr">
        <is>
          <t>UI scope</t>
        </is>
      </c>
      <c r="D29" s="246" t="inlineStr">
        <is>
          <t>UI scope</t>
        </is>
      </c>
      <c r="E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F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G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H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I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J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K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L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M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N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O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P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Q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R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S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T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U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V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W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X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Y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  <c r="Z29" s="228" t="inlineStr">
        <is>
          <t>2.06 owns individual evidence item/payload; 2.18 owns real-report loading/navigation/state handling. Proposed earlier display slice supports PB05/PB07; PB16 history/evaluation stays in its sprint.</t>
        </is>
      </c>
    </row>
    <row r="30" ht="38" customHeight="1" ns3:dyDescent="0.3">
      <c r="B30" s="246" t="inlineStr">
        <is>
          <t>Integration scope</t>
        </is>
      </c>
      <c r="C30" s="246" t="inlineStr">
        <is>
          <t>Integration scope</t>
        </is>
      </c>
      <c r="D30" s="246" t="inlineStr">
        <is>
          <t>Integration scope</t>
        </is>
      </c>
      <c r="E30" s="228" t="inlineStr">
        <is>
          <t>2.13 owns workflow wiring/smoke/demo. 2.19 owns cross-module regressions. Per-task unit tests stay in their estimates. No work is counted twice.</t>
        </is>
      </c>
      <c r="F30" s="228" t="inlineStr">
        <is>
          <t>2.13 owns workflow wiring/smoke/demo. 2.19 owns cross-module regressions. Per-task unit tests stay in their estimates. No work is counted twice.</t>
        </is>
      </c>
      <c r="G30" s="228" t="inlineStr">
        <is>
          <t>2.13 owns workflow wiring/smoke/demo. 2.19 owns cross-module regressions. Per-task unit tests stay in their estimates. No work is counted twice.</t>
        </is>
      </c>
      <c r="H30" s="228" t="inlineStr">
        <is>
          <t>2.13 owns workflow wiring/smoke/demo. 2.19 owns cross-module regressions. Per-task unit tests stay in their estimates. No work is counted twice.</t>
        </is>
      </c>
      <c r="I30" s="228" t="inlineStr">
        <is>
          <t>2.13 owns workflow wiring/smoke/demo. 2.19 owns cross-module regressions. Per-task unit tests stay in their estimates. No work is counted twice.</t>
        </is>
      </c>
      <c r="J30" s="228" t="inlineStr">
        <is>
          <t>2.13 owns workflow wiring/smoke/demo. 2.19 owns cross-module regressions. Per-task unit tests stay in their estimates. No work is counted twice.</t>
        </is>
      </c>
      <c r="K30" s="228" t="inlineStr">
        <is>
          <t>2.13 owns workflow wiring/smoke/demo. 2.19 owns cross-module regressions. Per-task unit tests stay in their estimates. No work is counted twice.</t>
        </is>
      </c>
      <c r="L30" s="228" t="inlineStr">
        <is>
          <t>2.13 owns workflow wiring/smoke/demo. 2.19 owns cross-module regressions. Per-task unit tests stay in their estimates. No work is counted twice.</t>
        </is>
      </c>
      <c r="M30" s="228" t="inlineStr">
        <is>
          <t>2.13 owns workflow wiring/smoke/demo. 2.19 owns cross-module regressions. Per-task unit tests stay in their estimates. No work is counted twice.</t>
        </is>
      </c>
      <c r="N30" s="228" t="inlineStr">
        <is>
          <t>2.13 owns workflow wiring/smoke/demo. 2.19 owns cross-module regressions. Per-task unit tests stay in their estimates. No work is counted twice.</t>
        </is>
      </c>
      <c r="O30" s="228" t="inlineStr">
        <is>
          <t>2.13 owns workflow wiring/smoke/demo. 2.19 owns cross-module regressions. Per-task unit tests stay in their estimates. No work is counted twice.</t>
        </is>
      </c>
      <c r="P30" s="228" t="inlineStr">
        <is>
          <t>2.13 owns workflow wiring/smoke/demo. 2.19 owns cross-module regressions. Per-task unit tests stay in their estimates. No work is counted twice.</t>
        </is>
      </c>
      <c r="Q30" s="228" t="inlineStr">
        <is>
          <t>2.13 owns workflow wiring/smoke/demo. 2.19 owns cross-module regressions. Per-task unit tests stay in their estimates. No work is counted twice.</t>
        </is>
      </c>
      <c r="R30" s="228" t="inlineStr">
        <is>
          <t>2.13 owns workflow wiring/smoke/demo. 2.19 owns cross-module regressions. Per-task unit tests stay in their estimates. No work is counted twice.</t>
        </is>
      </c>
      <c r="S30" s="228" t="inlineStr">
        <is>
          <t>2.13 owns workflow wiring/smoke/demo. 2.19 owns cross-module regressions. Per-task unit tests stay in their estimates. No work is counted twice.</t>
        </is>
      </c>
      <c r="T30" s="228" t="inlineStr">
        <is>
          <t>2.13 owns workflow wiring/smoke/demo. 2.19 owns cross-module regressions. Per-task unit tests stay in their estimates. No work is counted twice.</t>
        </is>
      </c>
      <c r="U30" s="228" t="inlineStr">
        <is>
          <t>2.13 owns workflow wiring/smoke/demo. 2.19 owns cross-module regressions. Per-task unit tests stay in their estimates. No work is counted twice.</t>
        </is>
      </c>
      <c r="V30" s="228" t="inlineStr">
        <is>
          <t>2.13 owns workflow wiring/smoke/demo. 2.19 owns cross-module regressions. Per-task unit tests stay in their estimates. No work is counted twice.</t>
        </is>
      </c>
      <c r="W30" s="228" t="inlineStr">
        <is>
          <t>2.13 owns workflow wiring/smoke/demo. 2.19 owns cross-module regressions. Per-task unit tests stay in their estimates. No work is counted twice.</t>
        </is>
      </c>
      <c r="X30" s="228" t="inlineStr">
        <is>
          <t>2.13 owns workflow wiring/smoke/demo. 2.19 owns cross-module regressions. Per-task unit tests stay in their estimates. No work is counted twice.</t>
        </is>
      </c>
      <c r="Y30" s="228" t="inlineStr">
        <is>
          <t>2.13 owns workflow wiring/smoke/demo. 2.19 owns cross-module regressions. Per-task unit tests stay in their estimates. No work is counted twice.</t>
        </is>
      </c>
      <c r="Z30" s="228" t="inlineStr">
        <is>
          <t>2.13 owns workflow wiring/smoke/demo. 2.19 owns cross-module regressions. Per-task unit tests stay in their estimates. No work is counted twice.</t>
        </is>
      </c>
    </row>
    <row r="31" ht="38" customHeight="1" ns3:dyDescent="0.3">
      <c r="B31" s="246" t="inlineStr">
        <is>
          <t>Later sprints</t>
        </is>
      </c>
      <c r="C31" s="246" t="inlineStr">
        <is>
          <t>Later sprints</t>
        </is>
      </c>
      <c r="D31" s="246" t="inlineStr">
        <is>
          <t>Later sprints</t>
        </is>
      </c>
      <c r="E31" s="228" t="inlineStr">
        <is>
          <t>Full LLM selection, production execution, benchmark/history dashboard, full dataset and input-repo CI integration remain outside this Sprint 2 slice.</t>
        </is>
      </c>
      <c r="F31" s="228" t="inlineStr">
        <is>
          <t>Full LLM selection, production execution, benchmark/history dashboard, full dataset and input-repo CI integration remain outside this Sprint 2 slice.</t>
        </is>
      </c>
      <c r="G31" s="228" t="inlineStr">
        <is>
          <t>Full LLM selection, production execution, benchmark/history dashboard, full dataset and input-repo CI integration remain outside this Sprint 2 slice.</t>
        </is>
      </c>
      <c r="H31" s="228" t="inlineStr">
        <is>
          <t>Full LLM selection, production execution, benchmark/history dashboard, full dataset and input-repo CI integration remain outside this Sprint 2 slice.</t>
        </is>
      </c>
      <c r="I31" s="228" t="inlineStr">
        <is>
          <t>Full LLM selection, production execution, benchmark/history dashboard, full dataset and input-repo CI integration remain outside this Sprint 2 slice.</t>
        </is>
      </c>
      <c r="J31" s="228" t="inlineStr">
        <is>
          <t>Full LLM selection, production execution, benchmark/history dashboard, full dataset and input-repo CI integration remain outside this Sprint 2 slice.</t>
        </is>
      </c>
      <c r="K31" s="228" t="inlineStr">
        <is>
          <t>Full LLM selection, production execution, benchmark/history dashboard, full dataset and input-repo CI integration remain outside this Sprint 2 slice.</t>
        </is>
      </c>
      <c r="L31" s="228" t="inlineStr">
        <is>
          <t>Full LLM selection, production execution, benchmark/history dashboard, full dataset and input-repo CI integration remain outside this Sprint 2 slice.</t>
        </is>
      </c>
      <c r="M31" s="228" t="inlineStr">
        <is>
          <t>Full LLM selection, production execution, benchmark/history dashboard, full dataset and input-repo CI integration remain outside this Sprint 2 slice.</t>
        </is>
      </c>
      <c r="N31" s="228" t="inlineStr">
        <is>
          <t>Full LLM selection, production execution, benchmark/history dashboard, full dataset and input-repo CI integration remain outside this Sprint 2 slice.</t>
        </is>
      </c>
      <c r="O31" s="228" t="inlineStr">
        <is>
          <t>Full LLM selection, production execution, benchmark/history dashboard, full dataset and input-repo CI integration remain outside this Sprint 2 slice.</t>
        </is>
      </c>
      <c r="P31" s="228" t="inlineStr">
        <is>
          <t>Full LLM selection, production execution, benchmark/history dashboard, full dataset and input-repo CI integration remain outside this Sprint 2 slice.</t>
        </is>
      </c>
      <c r="Q31" s="228" t="inlineStr">
        <is>
          <t>Full LLM selection, production execution, benchmark/history dashboard, full dataset and input-repo CI integration remain outside this Sprint 2 slice.</t>
        </is>
      </c>
      <c r="R31" s="228" t="inlineStr">
        <is>
          <t>Full LLM selection, production execution, benchmark/history dashboard, full dataset and input-repo CI integration remain outside this Sprint 2 slice.</t>
        </is>
      </c>
      <c r="S31" s="228" t="inlineStr">
        <is>
          <t>Full LLM selection, production execution, benchmark/history dashboard, full dataset and input-repo CI integration remain outside this Sprint 2 slice.</t>
        </is>
      </c>
      <c r="T31" s="228" t="inlineStr">
        <is>
          <t>Full LLM selection, production execution, benchmark/history dashboard, full dataset and input-repo CI integration remain outside this Sprint 2 slice.</t>
        </is>
      </c>
      <c r="U31" s="228" t="inlineStr">
        <is>
          <t>Full LLM selection, production execution, benchmark/history dashboard, full dataset and input-repo CI integration remain outside this Sprint 2 slice.</t>
        </is>
      </c>
      <c r="V31" s="228" t="inlineStr">
        <is>
          <t>Full LLM selection, production execution, benchmark/history dashboard, full dataset and input-repo CI integration remain outside this Sprint 2 slice.</t>
        </is>
      </c>
      <c r="W31" s="228" t="inlineStr">
        <is>
          <t>Full LLM selection, production execution, benchmark/history dashboard, full dataset and input-repo CI integration remain outside this Sprint 2 slice.</t>
        </is>
      </c>
      <c r="X31" s="228" t="inlineStr">
        <is>
          <t>Full LLM selection, production execution, benchmark/history dashboard, full dataset and input-repo CI integration remain outside this Sprint 2 slice.</t>
        </is>
      </c>
      <c r="Y31" s="228" t="inlineStr">
        <is>
          <t>Full LLM selection, production execution, benchmark/history dashboard, full dataset and input-repo CI integration remain outside this Sprint 2 slice.</t>
        </is>
      </c>
      <c r="Z31" s="228" t="inlineStr">
        <is>
          <t>Full LLM selection, production execution, benchmark/history dashboard, full dataset and input-repo CI integration remain outside this Sprint 2 slice.</t>
        </is>
      </c>
    </row>
    <row r="32" ht="13.5" customHeight="1" ns3:dyDescent="0.3"/>
    <row r="33" ht="27" customHeight="1" ns3:dyDescent="0.3">
      <c r="B33" s="226" t="inlineStr">
        <is>
          <t>PostgreSQL schema mapping (proposed; decision required)</t>
        </is>
      </c>
      <c r="C33" s="226" t="inlineStr">
        <is>
          <t>PostgreSQL schema mapping (proposed; decision required)</t>
        </is>
      </c>
      <c r="D33" s="226" t="inlineStr">
        <is>
          <t>PostgreSQL schema mapping (proposed; decision required)</t>
        </is>
      </c>
      <c r="E33" s="226" t="inlineStr">
        <is>
          <t>PostgreSQL schema mapping (proposed; decision required)</t>
        </is>
      </c>
      <c r="F33" s="226" t="inlineStr">
        <is>
          <t>PostgreSQL schema mapping (proposed; decision required)</t>
        </is>
      </c>
      <c r="G33" s="226" t="inlineStr">
        <is>
          <t>PostgreSQL schema mapping (proposed; decision required)</t>
        </is>
      </c>
      <c r="H33" s="226" t="inlineStr">
        <is>
          <t>PostgreSQL schema mapping (proposed; decision required)</t>
        </is>
      </c>
      <c r="I33" s="226" t="inlineStr">
        <is>
          <t>PostgreSQL schema mapping (proposed; decision required)</t>
        </is>
      </c>
      <c r="J33" s="226" t="inlineStr">
        <is>
          <t>PostgreSQL schema mapping (proposed; decision required)</t>
        </is>
      </c>
      <c r="K33" s="226" t="inlineStr">
        <is>
          <t>PostgreSQL schema mapping (proposed; decision required)</t>
        </is>
      </c>
      <c r="L33" s="226" t="inlineStr">
        <is>
          <t>PostgreSQL schema mapping (proposed; decision required)</t>
        </is>
      </c>
      <c r="M33" s="226" t="inlineStr">
        <is>
          <t>PostgreSQL schema mapping (proposed; decision required)</t>
        </is>
      </c>
      <c r="N33" s="226" t="inlineStr">
        <is>
          <t>PostgreSQL schema mapping (proposed; decision required)</t>
        </is>
      </c>
      <c r="O33" s="226" t="inlineStr">
        <is>
          <t>PostgreSQL schema mapping (proposed; decision required)</t>
        </is>
      </c>
      <c r="P33" s="226" t="inlineStr">
        <is>
          <t>PostgreSQL schema mapping (proposed; decision required)</t>
        </is>
      </c>
      <c r="Q33" s="226" t="inlineStr">
        <is>
          <t>PostgreSQL schema mapping (proposed; decision required)</t>
        </is>
      </c>
      <c r="R33" s="226" t="inlineStr">
        <is>
          <t>PostgreSQL schema mapping (proposed; decision required)</t>
        </is>
      </c>
      <c r="S33" s="226" t="inlineStr">
        <is>
          <t>PostgreSQL schema mapping (proposed; decision required)</t>
        </is>
      </c>
      <c r="T33" s="226" t="inlineStr">
        <is>
          <t>PostgreSQL schema mapping (proposed; decision required)</t>
        </is>
      </c>
      <c r="U33" s="226" t="inlineStr">
        <is>
          <t>PostgreSQL schema mapping (proposed; decision required)</t>
        </is>
      </c>
      <c r="V33" s="226" t="inlineStr">
        <is>
          <t>PostgreSQL schema mapping (proposed; decision required)</t>
        </is>
      </c>
      <c r="W33" s="226" t="inlineStr">
        <is>
          <t>PostgreSQL schema mapping (proposed; decision required)</t>
        </is>
      </c>
      <c r="X33" s="226" t="inlineStr">
        <is>
          <t>PostgreSQL schema mapping (proposed; decision required)</t>
        </is>
      </c>
      <c r="Y33" s="226" t="inlineStr">
        <is>
          <t>PostgreSQL schema mapping (proposed; decision required)</t>
        </is>
      </c>
      <c r="Z33" s="226" t="inlineStr">
        <is>
          <t>PostgreSQL schema mapping (proposed; decision required)</t>
        </is>
      </c>
    </row>
    <row r="34" ht="38" customHeight="1" ns3:dyDescent="0.3">
      <c r="B34" s="246" t="inlineStr">
        <is>
          <t>Minimum-slice gate</t>
        </is>
      </c>
      <c r="C34" s="246" t="inlineStr">
        <is>
          <t>Minimum-slice gate</t>
        </is>
      </c>
      <c r="D34" s="246" t="inlineStr">
        <is>
          <t>Minimum-slice gate</t>
        </is>
      </c>
      <c r="E34" s="228" t="inlineStr">
        <is>
          <t>2.20 owner H1 with KH; reviewer proposed AN. Confirm exact tables/columns/FK prerequisites before migrations. 24h covers bounded foundation, not the whole cumulative DB design.</t>
        </is>
      </c>
      <c r="F34" s="228" t="inlineStr">
        <is>
          <t>2.20 owner H1 with KH; reviewer proposed AN. Confirm exact tables/columns/FK prerequisites before migrations. 24h covers bounded foundation, not the whole cumulative DB design.</t>
        </is>
      </c>
      <c r="G34" s="228" t="inlineStr">
        <is>
          <t>2.20 owner H1 with KH; reviewer proposed AN. Confirm exact tables/columns/FK prerequisites before migrations. 24h covers bounded foundation, not the whole cumulative DB design.</t>
        </is>
      </c>
      <c r="H34" s="228" t="inlineStr">
        <is>
          <t>2.20 owner H1 with KH; reviewer proposed AN. Confirm exact tables/columns/FK prerequisites before migrations. 24h covers bounded foundation, not the whole cumulative DB design.</t>
        </is>
      </c>
      <c r="I34" s="228" t="inlineStr">
        <is>
          <t>2.20 owner H1 with KH; reviewer proposed AN. Confirm exact tables/columns/FK prerequisites before migrations. 24h covers bounded foundation, not the whole cumulative DB design.</t>
        </is>
      </c>
      <c r="J34" s="228" t="inlineStr">
        <is>
          <t>2.20 owner H1 with KH; reviewer proposed AN. Confirm exact tables/columns/FK prerequisites before migrations. 24h covers bounded foundation, not the whole cumulative DB design.</t>
        </is>
      </c>
      <c r="K34" s="228" t="inlineStr">
        <is>
          <t>2.20 owner H1 with KH; reviewer proposed AN. Confirm exact tables/columns/FK prerequisites before migrations. 24h covers bounded foundation, not the whole cumulative DB design.</t>
        </is>
      </c>
      <c r="L34" s="228" t="inlineStr">
        <is>
          <t>2.20 owner H1 with KH; reviewer proposed AN. Confirm exact tables/columns/FK prerequisites before migrations. 24h covers bounded foundation, not the whole cumulative DB design.</t>
        </is>
      </c>
      <c r="M34" s="228" t="inlineStr">
        <is>
          <t>2.20 owner H1 with KH; reviewer proposed AN. Confirm exact tables/columns/FK prerequisites before migrations. 24h covers bounded foundation, not the whole cumulative DB design.</t>
        </is>
      </c>
      <c r="N34" s="228" t="inlineStr">
        <is>
          <t>2.20 owner H1 with KH; reviewer proposed AN. Confirm exact tables/columns/FK prerequisites before migrations. 24h covers bounded foundation, not the whole cumulative DB design.</t>
        </is>
      </c>
      <c r="O34" s="228" t="inlineStr">
        <is>
          <t>2.20 owner H1 with KH; reviewer proposed AN. Confirm exact tables/columns/FK prerequisites before migrations. 24h covers bounded foundation, not the whole cumulative DB design.</t>
        </is>
      </c>
      <c r="P34" s="228" t="inlineStr">
        <is>
          <t>2.20 owner H1 with KH; reviewer proposed AN. Confirm exact tables/columns/FK prerequisites before migrations. 24h covers bounded foundation, not the whole cumulative DB design.</t>
        </is>
      </c>
      <c r="Q34" s="228" t="inlineStr">
        <is>
          <t>2.20 owner H1 with KH; reviewer proposed AN. Confirm exact tables/columns/FK prerequisites before migrations. 24h covers bounded foundation, not the whole cumulative DB design.</t>
        </is>
      </c>
      <c r="R34" s="228" t="inlineStr">
        <is>
          <t>2.20 owner H1 with KH; reviewer proposed AN. Confirm exact tables/columns/FK prerequisites before migrations. 24h covers bounded foundation, not the whole cumulative DB design.</t>
        </is>
      </c>
      <c r="S34" s="228" t="inlineStr">
        <is>
          <t>2.20 owner H1 with KH; reviewer proposed AN. Confirm exact tables/columns/FK prerequisites before migrations. 24h covers bounded foundation, not the whole cumulative DB design.</t>
        </is>
      </c>
      <c r="T34" s="228" t="inlineStr">
        <is>
          <t>2.20 owner H1 with KH; reviewer proposed AN. Confirm exact tables/columns/FK prerequisites before migrations. 24h covers bounded foundation, not the whole cumulative DB design.</t>
        </is>
      </c>
      <c r="U34" s="228" t="inlineStr">
        <is>
          <t>2.20 owner H1 with KH; reviewer proposed AN. Confirm exact tables/columns/FK prerequisites before migrations. 24h covers bounded foundation, not the whole cumulative DB design.</t>
        </is>
      </c>
      <c r="V34" s="228" t="inlineStr">
        <is>
          <t>2.20 owner H1 with KH; reviewer proposed AN. Confirm exact tables/columns/FK prerequisites before migrations. 24h covers bounded foundation, not the whole cumulative DB design.</t>
        </is>
      </c>
      <c r="W34" s="228" t="inlineStr">
        <is>
          <t>2.20 owner H1 with KH; reviewer proposed AN. Confirm exact tables/columns/FK prerequisites before migrations. 24h covers bounded foundation, not the whole cumulative DB design.</t>
        </is>
      </c>
      <c r="X34" s="228" t="inlineStr">
        <is>
          <t>2.20 owner H1 with KH; reviewer proposed AN. Confirm exact tables/columns/FK prerequisites before migrations. 24h covers bounded foundation, not the whole cumulative DB design.</t>
        </is>
      </c>
      <c r="Y34" s="228" t="inlineStr">
        <is>
          <t>2.20 owner H1 with KH; reviewer proposed AN. Confirm exact tables/columns/FK prerequisites before migrations. 24h covers bounded foundation, not the whole cumulative DB design.</t>
        </is>
      </c>
      <c r="Z34" s="228" t="inlineStr">
        <is>
          <t>2.20 owner H1 with KH; reviewer proposed AN. Confirm exact tables/columns/FK prerequisites before migrations. 24h covers bounded foundation, not the whole cumulative DB design.</t>
        </is>
      </c>
    </row>
    <row r="35" ht="38" customHeight="1" ns3:dyDescent="0.3">
      <c r="B35" s="246" t="inlineStr">
        <is>
          <t>Paths / evidence</t>
        </is>
      </c>
      <c r="C35" s="246" t="inlineStr">
        <is>
          <t>Paths / evidence</t>
        </is>
      </c>
      <c r="D35" s="246" t="inlineStr">
        <is>
          <t>Paths / evidence</t>
        </is>
      </c>
      <c r="E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F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G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H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I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J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K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L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M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N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O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P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Q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R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S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T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U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V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W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X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Y35" s="228" t="inlineStr">
        <is>
          <t>changed_files, code_components, dependency_edges, impact_candidates, evidence_references: proposed needed for the persisted impact slice; exact minimum pending. 2.05 owns domain persistence.</t>
        </is>
      </c>
      <c r="Z35" s="228" t="inlineStr">
        <is>
          <t>changed_files, code_components, dependency_edges, impact_candidates, evidence_references: proposed needed for the persisted impact slice; exact minimum pending. 2.05 owns domain persistence.</t>
        </is>
      </c>
    </row>
    <row r="36" ht="38" customHeight="1" ns3:dyDescent="0.3">
      <c r="B36" s="246" t="inlineStr">
        <is>
          <t>Inventory</t>
        </is>
      </c>
      <c r="C36" s="246" t="inlineStr">
        <is>
          <t>Inventory</t>
        </is>
      </c>
      <c r="D36" s="246" t="inlineStr">
        <is>
          <t>Inventory</t>
        </is>
      </c>
      <c r="E36" s="228" t="inlineStr">
        <is>
          <t>test_inventories, test_cases: proposed needed for durable target inventory/mapping; minimal fields and constraints pending. 2.08 owns inventory persistence.</t>
        </is>
      </c>
      <c r="F36" s="228" t="inlineStr">
        <is>
          <t>test_inventories, test_cases: proposed needed for durable target inventory/mapping; minimal fields and constraints pending. 2.08 owns inventory persistence.</t>
        </is>
      </c>
      <c r="G36" s="228" t="inlineStr">
        <is>
          <t>test_inventories, test_cases: proposed needed for durable target inventory/mapping; minimal fields and constraints pending. 2.08 owns inventory persistence.</t>
        </is>
      </c>
      <c r="H36" s="228" t="inlineStr">
        <is>
          <t>test_inventories, test_cases: proposed needed for durable target inventory/mapping; minimal fields and constraints pending. 2.08 owns inventory persistence.</t>
        </is>
      </c>
      <c r="I36" s="228" t="inlineStr">
        <is>
          <t>test_inventories, test_cases: proposed needed for durable target inventory/mapping; minimal fields and constraints pending. 2.08 owns inventory persistence.</t>
        </is>
      </c>
      <c r="J36" s="228" t="inlineStr">
        <is>
          <t>test_inventories, test_cases: proposed needed for durable target inventory/mapping; minimal fields and constraints pending. 2.08 owns inventory persistence.</t>
        </is>
      </c>
      <c r="K36" s="228" t="inlineStr">
        <is>
          <t>test_inventories, test_cases: proposed needed for durable target inventory/mapping; minimal fields and constraints pending. 2.08 owns inventory persistence.</t>
        </is>
      </c>
      <c r="L36" s="228" t="inlineStr">
        <is>
          <t>test_inventories, test_cases: proposed needed for durable target inventory/mapping; minimal fields and constraints pending. 2.08 owns inventory persistence.</t>
        </is>
      </c>
      <c r="M36" s="228" t="inlineStr">
        <is>
          <t>test_inventories, test_cases: proposed needed for durable target inventory/mapping; minimal fields and constraints pending. 2.08 owns inventory persistence.</t>
        </is>
      </c>
      <c r="N36" s="228" t="inlineStr">
        <is>
          <t>test_inventories, test_cases: proposed needed for durable target inventory/mapping; minimal fields and constraints pending. 2.08 owns inventory persistence.</t>
        </is>
      </c>
      <c r="O36" s="228" t="inlineStr">
        <is>
          <t>test_inventories, test_cases: proposed needed for durable target inventory/mapping; minimal fields and constraints pending. 2.08 owns inventory persistence.</t>
        </is>
      </c>
      <c r="P36" s="228" t="inlineStr">
        <is>
          <t>test_inventories, test_cases: proposed needed for durable target inventory/mapping; minimal fields and constraints pending. 2.08 owns inventory persistence.</t>
        </is>
      </c>
      <c r="Q36" s="228" t="inlineStr">
        <is>
          <t>test_inventories, test_cases: proposed needed for durable target inventory/mapping; minimal fields and constraints pending. 2.08 owns inventory persistence.</t>
        </is>
      </c>
      <c r="R36" s="228" t="inlineStr">
        <is>
          <t>test_inventories, test_cases: proposed needed for durable target inventory/mapping; minimal fields and constraints pending. 2.08 owns inventory persistence.</t>
        </is>
      </c>
      <c r="S36" s="228" t="inlineStr">
        <is>
          <t>test_inventories, test_cases: proposed needed for durable target inventory/mapping; minimal fields and constraints pending. 2.08 owns inventory persistence.</t>
        </is>
      </c>
      <c r="T36" s="228" t="inlineStr">
        <is>
          <t>test_inventories, test_cases: proposed needed for durable target inventory/mapping; minimal fields and constraints pending. 2.08 owns inventory persistence.</t>
        </is>
      </c>
      <c r="U36" s="228" t="inlineStr">
        <is>
          <t>test_inventories, test_cases: proposed needed for durable target inventory/mapping; minimal fields and constraints pending. 2.08 owns inventory persistence.</t>
        </is>
      </c>
      <c r="V36" s="228" t="inlineStr">
        <is>
          <t>test_inventories, test_cases: proposed needed for durable target inventory/mapping; minimal fields and constraints pending. 2.08 owns inventory persistence.</t>
        </is>
      </c>
      <c r="W36" s="228" t="inlineStr">
        <is>
          <t>test_inventories, test_cases: proposed needed for durable target inventory/mapping; minimal fields and constraints pending. 2.08 owns inventory persistence.</t>
        </is>
      </c>
      <c r="X36" s="228" t="inlineStr">
        <is>
          <t>test_inventories, test_cases: proposed needed for durable target inventory/mapping; minimal fields and constraints pending. 2.08 owns inventory persistence.</t>
        </is>
      </c>
      <c r="Y36" s="228" t="inlineStr">
        <is>
          <t>test_inventories, test_cases: proposed needed for durable target inventory/mapping; minimal fields and constraints pending. 2.08 owns inventory persistence.</t>
        </is>
      </c>
      <c r="Z36" s="228" t="inlineStr">
        <is>
          <t>test_inventories, test_cases: proposed needed for durable target inventory/mapping; minimal fields and constraints pending. 2.08 owns inventory persistence.</t>
        </is>
      </c>
    </row>
    <row r="37" ht="38" customHeight="1" ns3:dyDescent="0.3">
      <c r="B37" s="246" t="inlineStr">
        <is>
          <t>Retrieval metadata</t>
        </is>
      </c>
      <c r="C37" s="246" t="inlineStr">
        <is>
          <t>Retrieval metadata</t>
        </is>
      </c>
      <c r="D37" s="246" t="inlineStr">
        <is>
          <t>Retrieval metadata</t>
        </is>
      </c>
      <c r="E37" s="228" t="inlineStr">
        <is>
          <t>knowledge_indexes, knowledge_chunks: pending retrieval design/minimum-slice decision; metadata needed for 2.10. Keep vector/index implementation a separate explicit choice.</t>
        </is>
      </c>
      <c r="F37" s="228" t="inlineStr">
        <is>
          <t>knowledge_indexes, knowledge_chunks: pending retrieval design/minimum-slice decision; metadata needed for 2.10. Keep vector/index implementation a separate explicit choice.</t>
        </is>
      </c>
      <c r="G37" s="228" t="inlineStr">
        <is>
          <t>knowledge_indexes, knowledge_chunks: pending retrieval design/minimum-slice decision; metadata needed for 2.10. Keep vector/index implementation a separate explicit choice.</t>
        </is>
      </c>
      <c r="H37" s="228" t="inlineStr">
        <is>
          <t>knowledge_indexes, knowledge_chunks: pending retrieval design/minimum-slice decision; metadata needed for 2.10. Keep vector/index implementation a separate explicit choice.</t>
        </is>
      </c>
      <c r="I37" s="228" t="inlineStr">
        <is>
          <t>knowledge_indexes, knowledge_chunks: pending retrieval design/minimum-slice decision; metadata needed for 2.10. Keep vector/index implementation a separate explicit choice.</t>
        </is>
      </c>
      <c r="J37" s="228" t="inlineStr">
        <is>
          <t>knowledge_indexes, knowledge_chunks: pending retrieval design/minimum-slice decision; metadata needed for 2.10. Keep vector/index implementation a separate explicit choice.</t>
        </is>
      </c>
      <c r="K37" s="228" t="inlineStr">
        <is>
          <t>knowledge_indexes, knowledge_chunks: pending retrieval design/minimum-slice decision; metadata needed for 2.10. Keep vector/index implementation a separate explicit choice.</t>
        </is>
      </c>
      <c r="L37" s="228" t="inlineStr">
        <is>
          <t>knowledge_indexes, knowledge_chunks: pending retrieval design/minimum-slice decision; metadata needed for 2.10. Keep vector/index implementation a separate explicit choice.</t>
        </is>
      </c>
      <c r="M37" s="228" t="inlineStr">
        <is>
          <t>knowledge_indexes, knowledge_chunks: pending retrieval design/minimum-slice decision; metadata needed for 2.10. Keep vector/index implementation a separate explicit choice.</t>
        </is>
      </c>
      <c r="N37" s="228" t="inlineStr">
        <is>
          <t>knowledge_indexes, knowledge_chunks: pending retrieval design/minimum-slice decision; metadata needed for 2.10. Keep vector/index implementation a separate explicit choice.</t>
        </is>
      </c>
      <c r="O37" s="228" t="inlineStr">
        <is>
          <t>knowledge_indexes, knowledge_chunks: pending retrieval design/minimum-slice decision; metadata needed for 2.10. Keep vector/index implementation a separate explicit choice.</t>
        </is>
      </c>
      <c r="P37" s="228" t="inlineStr">
        <is>
          <t>knowledge_indexes, knowledge_chunks: pending retrieval design/minimum-slice decision; metadata needed for 2.10. Keep vector/index implementation a separate explicit choice.</t>
        </is>
      </c>
      <c r="Q37" s="228" t="inlineStr">
        <is>
          <t>knowledge_indexes, knowledge_chunks: pending retrieval design/minimum-slice decision; metadata needed for 2.10. Keep vector/index implementation a separate explicit choice.</t>
        </is>
      </c>
      <c r="R37" s="228" t="inlineStr">
        <is>
          <t>knowledge_indexes, knowledge_chunks: pending retrieval design/minimum-slice decision; metadata needed for 2.10. Keep vector/index implementation a separate explicit choice.</t>
        </is>
      </c>
      <c r="S37" s="228" t="inlineStr">
        <is>
          <t>knowledge_indexes, knowledge_chunks: pending retrieval design/minimum-slice decision; metadata needed for 2.10. Keep vector/index implementation a separate explicit choice.</t>
        </is>
      </c>
      <c r="T37" s="228" t="inlineStr">
        <is>
          <t>knowledge_indexes, knowledge_chunks: pending retrieval design/minimum-slice decision; metadata needed for 2.10. Keep vector/index implementation a separate explicit choice.</t>
        </is>
      </c>
      <c r="U37" s="228" t="inlineStr">
        <is>
          <t>knowledge_indexes, knowledge_chunks: pending retrieval design/minimum-slice decision; metadata needed for 2.10. Keep vector/index implementation a separate explicit choice.</t>
        </is>
      </c>
      <c r="V37" s="228" t="inlineStr">
        <is>
          <t>knowledge_indexes, knowledge_chunks: pending retrieval design/minimum-slice decision; metadata needed for 2.10. Keep vector/index implementation a separate explicit choice.</t>
        </is>
      </c>
      <c r="W37" s="228" t="inlineStr">
        <is>
          <t>knowledge_indexes, knowledge_chunks: pending retrieval design/minimum-slice decision; metadata needed for 2.10. Keep vector/index implementation a separate explicit choice.</t>
        </is>
      </c>
      <c r="X37" s="228" t="inlineStr">
        <is>
          <t>knowledge_indexes, knowledge_chunks: pending retrieval design/minimum-slice decision; metadata needed for 2.10. Keep vector/index implementation a separate explicit choice.</t>
        </is>
      </c>
      <c r="Y37" s="228" t="inlineStr">
        <is>
          <t>knowledge_indexes, knowledge_chunks: pending retrieval design/minimum-slice decision; metadata needed for 2.10. Keep vector/index implementation a separate explicit choice.</t>
        </is>
      </c>
      <c r="Z37" s="228" t="inlineStr">
        <is>
          <t>knowledge_indexes, knowledge_chunks: pending retrieval design/minimum-slice decision; metadata needed for 2.10. Keep vector/index implementation a separate explicit choice.</t>
        </is>
      </c>
    </row>
    <row r="38" ht="38" customHeight="1" ns3:dyDescent="0.3">
      <c r="B38" s="246" t="inlineStr">
        <is>
          <t>FK prerequisites</t>
        </is>
      </c>
      <c r="C38" s="246" t="inlineStr">
        <is>
          <t>FK prerequisites</t>
        </is>
      </c>
      <c r="D38" s="246" t="inlineStr">
        <is>
          <t>FK prerequisites</t>
        </is>
      </c>
      <c r="E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F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G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H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I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J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K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L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M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N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O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P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Q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R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S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T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U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V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W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X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Y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  <c r="Z38" s="228" t="inlineStr">
        <is>
          <t>repositories, analysis_runs, artifacts and referenced user/configuration keys require reconciliation with Sprint 1 design. Exact prerequisite slice pending; do not silently create full auth/configuration services.</t>
        </is>
      </c>
    </row>
    <row r="39" ht="38" customHeight="1" ns3:dyDescent="0.3">
      <c r="B39" s="246" t="inlineStr">
        <is>
          <t>Deferred</t>
        </is>
      </c>
      <c r="C39" s="246" t="inlineStr">
        <is>
          <t>Deferred</t>
        </is>
      </c>
      <c r="D39" s="246" t="inlineStr">
        <is>
          <t>Deferred</t>
        </is>
      </c>
      <c r="E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F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G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H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I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J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K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L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M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N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O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P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Q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R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S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T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U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V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W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X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Y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  <c r="Z39" s="228" t="inlineStr">
        <is>
          <t>Full authentication/authorization service, history dashboard, Sprint 3 selection/execution tables and Sprint 4 evaluation/CI tables are deferred. Required referential keys are decided separately.</t>
        </is>
      </c>
    </row>
    <row r="40" ht="38" customHeight="1" ns3:dyDescent="0.3">
      <c r="B40" s="246" t="inlineStr">
        <is>
          <t>Retrieval checkpoint</t>
        </is>
      </c>
      <c r="C40" s="246" t="inlineStr">
        <is>
          <t>Retrieval checkpoint</t>
        </is>
      </c>
      <c r="D40" s="246" t="inlineStr">
        <is>
          <t>Retrieval checkpoint</t>
        </is>
      </c>
      <c r="E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F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G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H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I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J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K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L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M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N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O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P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Q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R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S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T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U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V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W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X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Y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  <c r="Z40" s="228" t="inlineStr">
        <is>
          <t>Select permitted retrieval/embedding approach before 2.10–2.12. DB Design §3.4.8 makes embedding_model non-null; lexical-only requires explicit design reconciliation, never a fake model name.</t>
        </is>
      </c>
    </row>
    <row r="41" ht="38" customHeight="1" ns3:dyDescent="0.3">
      <c r="B41" s="246" t="inlineStr">
        <is>
          <t>Persistence boundary</t>
        </is>
      </c>
      <c r="C41" s="246" t="inlineStr">
        <is>
          <t>Persistence boundary</t>
        </is>
      </c>
      <c r="D41" s="246" t="inlineStr">
        <is>
          <t>Persistence boundary</t>
        </is>
      </c>
      <c r="E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F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G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H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I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J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K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L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M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N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O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P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Q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R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S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T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U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V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W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X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Y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  <c r="Z41" s="228" t="inlineStr">
        <is>
          <t>2.20: connection/config, versioned migration mechanism and transaction foundation. 2.05: paths/evidence; 2.08: inventory; 2.10: retrieval metadata. One designated writer per shared migration at a time.</t>
        </is>
      </c>
    </row>
    <row r="42" ht="38" customHeight="1" ns3:dyDescent="0.3">
      <c r="B42" s="246" t="inlineStr">
        <is>
          <t>Database acceptance</t>
        </is>
      </c>
      <c r="C42" s="246" t="inlineStr">
        <is>
          <t>Database acceptance</t>
        </is>
      </c>
      <c r="D42" s="246" t="inlineStr">
        <is>
          <t>Database acceptance</t>
        </is>
      </c>
      <c r="E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F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G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H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I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J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K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L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M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N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O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P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Q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R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S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T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U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V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W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X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Y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  <c r="Z42" s="228" t="inlineStr">
        <is>
          <t>Real PostgreSQL migration/round-trip checks; reject cross-repo/run/snapshot links; verify failure/transaction rollback and setup/recovery. No actual DSN/secrets in workbook. Large artifacts remain protected files.</t>
        </is>
      </c>
    </row>
    <row r="43" ht="38" customHeight="1" ns3:dyDescent="0.3">
      <c r="B43" s="246" t="inlineStr">
        <is>
          <t>Re-estimate handling</t>
        </is>
      </c>
      <c r="C43" s="246" t="inlineStr">
        <is>
          <t>Re-estimate handling</t>
        </is>
      </c>
      <c r="D43" s="246" t="inlineStr">
        <is>
          <t>Re-estimate handling</t>
        </is>
      </c>
      <c r="E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F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G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H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I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J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K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L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M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N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O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P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Q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R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S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T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U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V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W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X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Y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  <c r="Z43" s="228" t="inlineStr">
        <is>
          <t>If tables/prerequisites exceed 24h, record proposed additional hours, scope and reason without changing the 232h baseline. Review/debug reserve excludes work already included in task estimates.</t>
        </is>
      </c>
    </row>
    <row r="44" ht="13.5" customHeight="1" ns3:dyDescent="0.3"/>
    <row r="45" ht="27" customHeight="1" ns3:dyDescent="0.3">
      <c r="B45" s="226" t="inlineStr">
        <is>
          <t>Pending decisions and source reconciliation</t>
        </is>
      </c>
      <c r="C45" s="226" t="inlineStr">
        <is>
          <t>Pending decisions and source reconciliation</t>
        </is>
      </c>
      <c r="D45" s="226" t="inlineStr">
        <is>
          <t>Pending decisions and source reconciliation</t>
        </is>
      </c>
      <c r="E45" s="226" t="inlineStr">
        <is>
          <t>Pending decisions and source reconciliation</t>
        </is>
      </c>
      <c r="F45" s="226" t="inlineStr">
        <is>
          <t>Pending decisions and source reconciliation</t>
        </is>
      </c>
      <c r="G45" s="226" t="inlineStr">
        <is>
          <t>Pending decisions and source reconciliation</t>
        </is>
      </c>
      <c r="H45" s="226" t="inlineStr">
        <is>
          <t>Pending decisions and source reconciliation</t>
        </is>
      </c>
      <c r="I45" s="226" t="inlineStr">
        <is>
          <t>Pending decisions and source reconciliation</t>
        </is>
      </c>
      <c r="J45" s="226" t="inlineStr">
        <is>
          <t>Pending decisions and source reconciliation</t>
        </is>
      </c>
      <c r="K45" s="226" t="inlineStr">
        <is>
          <t>Pending decisions and source reconciliation</t>
        </is>
      </c>
      <c r="L45" s="226" t="inlineStr">
        <is>
          <t>Pending decisions and source reconciliation</t>
        </is>
      </c>
      <c r="M45" s="226" t="inlineStr">
        <is>
          <t>Pending decisions and source reconciliation</t>
        </is>
      </c>
      <c r="N45" s="226" t="inlineStr">
        <is>
          <t>Pending decisions and source reconciliation</t>
        </is>
      </c>
      <c r="O45" s="226" t="inlineStr">
        <is>
          <t>Pending decisions and source reconciliation</t>
        </is>
      </c>
      <c r="P45" s="226" t="inlineStr">
        <is>
          <t>Pending decisions and source reconciliation</t>
        </is>
      </c>
      <c r="Q45" s="226" t="inlineStr">
        <is>
          <t>Pending decisions and source reconciliation</t>
        </is>
      </c>
      <c r="R45" s="226" t="inlineStr">
        <is>
          <t>Pending decisions and source reconciliation</t>
        </is>
      </c>
      <c r="S45" s="226" t="inlineStr">
        <is>
          <t>Pending decisions and source reconciliation</t>
        </is>
      </c>
      <c r="T45" s="226" t="inlineStr">
        <is>
          <t>Pending decisions and source reconciliation</t>
        </is>
      </c>
      <c r="U45" s="226" t="inlineStr">
        <is>
          <t>Pending decisions and source reconciliation</t>
        </is>
      </c>
      <c r="V45" s="226" t="inlineStr">
        <is>
          <t>Pending decisions and source reconciliation</t>
        </is>
      </c>
      <c r="W45" s="226" t="inlineStr">
        <is>
          <t>Pending decisions and source reconciliation</t>
        </is>
      </c>
      <c r="X45" s="226" t="inlineStr">
        <is>
          <t>Pending decisions and source reconciliation</t>
        </is>
      </c>
      <c r="Y45" s="226" t="inlineStr">
        <is>
          <t>Pending decisions and source reconciliation</t>
        </is>
      </c>
      <c r="Z45" s="226" t="inlineStr">
        <is>
          <t>Pending decisions and source reconciliation</t>
        </is>
      </c>
    </row>
    <row r="46" ht="38" customHeight="1" ns3:dyDescent="0.3">
      <c r="B46" s="246" t="inlineStr">
        <is>
          <t>Capacity</t>
        </is>
      </c>
      <c r="C46" s="246" t="inlineStr">
        <is>
          <t>Capacity</t>
        </is>
      </c>
      <c r="D46" s="246" t="inlineStr">
        <is>
          <t>Capacity</t>
        </is>
      </c>
      <c r="E46" s="228" t="inlineStr">
        <is>
          <t>Confirm each member availability against planned allocation. If insufficient, propose scope/resource options; do not silently drop tasks, reassign members or extend sprint.</t>
        </is>
      </c>
      <c r="F46" s="228" t="inlineStr">
        <is>
          <t>Confirm each member availability against planned allocation. If insufficient, propose scope/resource options; do not silently drop tasks, reassign members or extend sprint.</t>
        </is>
      </c>
      <c r="G46" s="228" t="inlineStr">
        <is>
          <t>Confirm each member availability against planned allocation. If insufficient, propose scope/resource options; do not silently drop tasks, reassign members or extend sprint.</t>
        </is>
      </c>
      <c r="H46" s="228" t="inlineStr">
        <is>
          <t>Confirm each member availability against planned allocation. If insufficient, propose scope/resource options; do not silently drop tasks, reassign members or extend sprint.</t>
        </is>
      </c>
      <c r="I46" s="228" t="inlineStr">
        <is>
          <t>Confirm each member availability against planned allocation. If insufficient, propose scope/resource options; do not silently drop tasks, reassign members or extend sprint.</t>
        </is>
      </c>
      <c r="J46" s="228" t="inlineStr">
        <is>
          <t>Confirm each member availability against planned allocation. If insufficient, propose scope/resource options; do not silently drop tasks, reassign members or extend sprint.</t>
        </is>
      </c>
      <c r="K46" s="228" t="inlineStr">
        <is>
          <t>Confirm each member availability against planned allocation. If insufficient, propose scope/resource options; do not silently drop tasks, reassign members or extend sprint.</t>
        </is>
      </c>
      <c r="L46" s="228" t="inlineStr">
        <is>
          <t>Confirm each member availability against planned allocation. If insufficient, propose scope/resource options; do not silently drop tasks, reassign members or extend sprint.</t>
        </is>
      </c>
      <c r="M46" s="228" t="inlineStr">
        <is>
          <t>Confirm each member availability against planned allocation. If insufficient, propose scope/resource options; do not silently drop tasks, reassign members or extend sprint.</t>
        </is>
      </c>
      <c r="N46" s="228" t="inlineStr">
        <is>
          <t>Confirm each member availability against planned allocation. If insufficient, propose scope/resource options; do not silently drop tasks, reassign members or extend sprint.</t>
        </is>
      </c>
      <c r="O46" s="228" t="inlineStr">
        <is>
          <t>Confirm each member availability against planned allocation. If insufficient, propose scope/resource options; do not silently drop tasks, reassign members or extend sprint.</t>
        </is>
      </c>
      <c r="P46" s="228" t="inlineStr">
        <is>
          <t>Confirm each member availability against planned allocation. If insufficient, propose scope/resource options; do not silently drop tasks, reassign members or extend sprint.</t>
        </is>
      </c>
      <c r="Q46" s="228" t="inlineStr">
        <is>
          <t>Confirm each member availability against planned allocation. If insufficient, propose scope/resource options; do not silently drop tasks, reassign members or extend sprint.</t>
        </is>
      </c>
      <c r="R46" s="228" t="inlineStr">
        <is>
          <t>Confirm each member availability against planned allocation. If insufficient, propose scope/resource options; do not silently drop tasks, reassign members or extend sprint.</t>
        </is>
      </c>
      <c r="S46" s="228" t="inlineStr">
        <is>
          <t>Confirm each member availability against planned allocation. If insufficient, propose scope/resource options; do not silently drop tasks, reassign members or extend sprint.</t>
        </is>
      </c>
      <c r="T46" s="228" t="inlineStr">
        <is>
          <t>Confirm each member availability against planned allocation. If insufficient, propose scope/resource options; do not silently drop tasks, reassign members or extend sprint.</t>
        </is>
      </c>
      <c r="U46" s="228" t="inlineStr">
        <is>
          <t>Confirm each member availability against planned allocation. If insufficient, propose scope/resource options; do not silently drop tasks, reassign members or extend sprint.</t>
        </is>
      </c>
      <c r="V46" s="228" t="inlineStr">
        <is>
          <t>Confirm each member availability against planned allocation. If insufficient, propose scope/resource options; do not silently drop tasks, reassign members or extend sprint.</t>
        </is>
      </c>
      <c r="W46" s="228" t="inlineStr">
        <is>
          <t>Confirm each member availability against planned allocation. If insufficient, propose scope/resource options; do not silently drop tasks, reassign members or extend sprint.</t>
        </is>
      </c>
      <c r="X46" s="228" t="inlineStr">
        <is>
          <t>Confirm each member availability against planned allocation. If insufficient, propose scope/resource options; do not silently drop tasks, reassign members or extend sprint.</t>
        </is>
      </c>
      <c r="Y46" s="228" t="inlineStr">
        <is>
          <t>Confirm each member availability against planned allocation. If insufficient, propose scope/resource options; do not silently drop tasks, reassign members or extend sprint.</t>
        </is>
      </c>
      <c r="Z46" s="228" t="inlineStr">
        <is>
          <t>Confirm each member availability against planned allocation. If insufficient, propose scope/resource options; do not silently drop tasks, reassign members or extend sprint.</t>
        </is>
      </c>
    </row>
    <row r="47" ht="38" customHeight="1" ns3:dyDescent="0.3">
      <c r="B47" s="246" t="inlineStr">
        <is>
          <t>Revision policy</t>
        </is>
      </c>
      <c r="C47" s="246" t="inlineStr">
        <is>
          <t>Revision policy</t>
        </is>
      </c>
      <c r="D47" s="246" t="inlineStr">
        <is>
          <t>Revision policy</t>
        </is>
      </c>
      <c r="E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F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G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H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I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J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K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L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M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N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O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P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Q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R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S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T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U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V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W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X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Y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  <c r="Z47" s="228" t="inlineStr">
        <is>
          <t>Review Sprint 1 revision semantics/Q01–Q10 and candidate authorization before dependent behavior. PR merge is not blanket policy/mentor approval. PostgreSQL engine alone is accepted by the current user.</t>
        </is>
      </c>
    </row>
    <row r="48" ht="38" customHeight="1" ns3:dyDescent="0.3">
      <c r="B48" s="246" t="inlineStr">
        <is>
          <t>Outside-scope follow-up</t>
        </is>
      </c>
      <c r="C48" s="246" t="inlineStr">
        <is>
          <t>Outside-scope follow-up</t>
        </is>
      </c>
      <c r="D48" s="246" t="inlineStr">
        <is>
          <t>Outside-scope follow-up</t>
        </is>
      </c>
      <c r="E48" s="228" t="inlineStr">
        <is>
          <t>Synchronize PostgreSQL and revised Sprint 2 scope in decision register, team-guide and relevant DOCX documents in a separate authorized task. These files are unchanged here.</t>
        </is>
      </c>
      <c r="F48" s="228" t="inlineStr">
        <is>
          <t>Synchronize PostgreSQL and revised Sprint 2 scope in decision register, team-guide and relevant DOCX documents in a separate authorized task. These files are unchanged here.</t>
        </is>
      </c>
      <c r="G48" s="228" t="inlineStr">
        <is>
          <t>Synchronize PostgreSQL and revised Sprint 2 scope in decision register, team-guide and relevant DOCX documents in a separate authorized task. These files are unchanged here.</t>
        </is>
      </c>
      <c r="H48" s="228" t="inlineStr">
        <is>
          <t>Synchronize PostgreSQL and revised Sprint 2 scope in decision register, team-guide and relevant DOCX documents in a separate authorized task. These files are unchanged here.</t>
        </is>
      </c>
      <c r="I48" s="228" t="inlineStr">
        <is>
          <t>Synchronize PostgreSQL and revised Sprint 2 scope in decision register, team-guide and relevant DOCX documents in a separate authorized task. These files are unchanged here.</t>
        </is>
      </c>
      <c r="J48" s="228" t="inlineStr">
        <is>
          <t>Synchronize PostgreSQL and revised Sprint 2 scope in decision register, team-guide and relevant DOCX documents in a separate authorized task. These files are unchanged here.</t>
        </is>
      </c>
      <c r="K48" s="228" t="inlineStr">
        <is>
          <t>Synchronize PostgreSQL and revised Sprint 2 scope in decision register, team-guide and relevant DOCX documents in a separate authorized task. These files are unchanged here.</t>
        </is>
      </c>
      <c r="L48" s="228" t="inlineStr">
        <is>
          <t>Synchronize PostgreSQL and revised Sprint 2 scope in decision register, team-guide and relevant DOCX documents in a separate authorized task. These files are unchanged here.</t>
        </is>
      </c>
      <c r="M48" s="228" t="inlineStr">
        <is>
          <t>Synchronize PostgreSQL and revised Sprint 2 scope in decision register, team-guide and relevant DOCX documents in a separate authorized task. These files are unchanged here.</t>
        </is>
      </c>
      <c r="N48" s="228" t="inlineStr">
        <is>
          <t>Synchronize PostgreSQL and revised Sprint 2 scope in decision register, team-guide and relevant DOCX documents in a separate authorized task. These files are unchanged here.</t>
        </is>
      </c>
      <c r="O48" s="228" t="inlineStr">
        <is>
          <t>Synchronize PostgreSQL and revised Sprint 2 scope in decision register, team-guide and relevant DOCX documents in a separate authorized task. These files are unchanged here.</t>
        </is>
      </c>
      <c r="P48" s="228" t="inlineStr">
        <is>
          <t>Synchronize PostgreSQL and revised Sprint 2 scope in decision register, team-guide and relevant DOCX documents in a separate authorized task. These files are unchanged here.</t>
        </is>
      </c>
      <c r="Q48" s="228" t="inlineStr">
        <is>
          <t>Synchronize PostgreSQL and revised Sprint 2 scope in decision register, team-guide and relevant DOCX documents in a separate authorized task. These files are unchanged here.</t>
        </is>
      </c>
      <c r="R48" s="228" t="inlineStr">
        <is>
          <t>Synchronize PostgreSQL and revised Sprint 2 scope in decision register, team-guide and relevant DOCX documents in a separate authorized task. These files are unchanged here.</t>
        </is>
      </c>
      <c r="S48" s="228" t="inlineStr">
        <is>
          <t>Synchronize PostgreSQL and revised Sprint 2 scope in decision register, team-guide and relevant DOCX documents in a separate authorized task. These files are unchanged here.</t>
        </is>
      </c>
      <c r="T48" s="228" t="inlineStr">
        <is>
          <t>Synchronize PostgreSQL and revised Sprint 2 scope in decision register, team-guide and relevant DOCX documents in a separate authorized task. These files are unchanged here.</t>
        </is>
      </c>
      <c r="U48" s="228" t="inlineStr">
        <is>
          <t>Synchronize PostgreSQL and revised Sprint 2 scope in decision register, team-guide and relevant DOCX documents in a separate authorized task. These files are unchanged here.</t>
        </is>
      </c>
      <c r="V48" s="228" t="inlineStr">
        <is>
          <t>Synchronize PostgreSQL and revised Sprint 2 scope in decision register, team-guide and relevant DOCX documents in a separate authorized task. These files are unchanged here.</t>
        </is>
      </c>
      <c r="W48" s="228" t="inlineStr">
        <is>
          <t>Synchronize PostgreSQL and revised Sprint 2 scope in decision register, team-guide and relevant DOCX documents in a separate authorized task. These files are unchanged here.</t>
        </is>
      </c>
      <c r="X48" s="228" t="inlineStr">
        <is>
          <t>Synchronize PostgreSQL and revised Sprint 2 scope in decision register, team-guide and relevant DOCX documents in a separate authorized task. These files are unchanged here.</t>
        </is>
      </c>
      <c r="Y48" s="228" t="inlineStr">
        <is>
          <t>Synchronize PostgreSQL and revised Sprint 2 scope in decision register, team-guide and relevant DOCX documents in a separate authorized task. These files are unchanged here.</t>
        </is>
      </c>
      <c r="Z48" s="228" t="inlineStr">
        <is>
          <t>Synchronize PostgreSQL and revised Sprint 2 scope in decision register, team-guide and relevant DOCX documents in a separate authorized task. These files are unchanged here.</t>
        </is>
      </c>
    </row>
    <row r="49" ht="38" customHeight="1" ns3:dyDescent="0.3">
      <c r="B49" s="246" t="inlineStr">
        <is>
          <t>Sources</t>
        </is>
      </c>
      <c r="C49" s="246" t="inlineStr">
        <is>
          <t>Sources</t>
        </is>
      </c>
      <c r="D49" s="246" t="inlineStr">
        <is>
          <t>Sources</t>
        </is>
      </c>
      <c r="E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F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G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H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I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J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K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L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M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N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O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P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Q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R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S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T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U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V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W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X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Y49" s="228" t="inlineStr">
        <is>
          <t>User Sprint 2 instructions (2026-10-31); Proposal v1.4 §11.2–11.3 and Appendices C/D; Project Plan v1.1 Sprint 2; Architecture v1.3 impact/retrieval tables; Database Design v1.5 §3.</t>
        </is>
      </c>
      <c r="Z49" s="228" t="inlineStr">
        <is>
          <t>User Sprint 2 instructions (2026-10-31); Proposal v1.4 §11.2–11.3 and Appendices C/D; Project Plan v1.1 Sprint 2; Architecture v1.3 impact/retrieval tables; Database Design v1.5 §3.</t>
        </is>
      </c>
    </row>
    <row r="50" ht="38" customHeight="1" ns3:dyDescent="0.3">
      <c r="B50" s="246" t="inlineStr">
        <is>
          <t>Repository evidence</t>
        </is>
      </c>
      <c r="C50" s="246" t="inlineStr">
        <is>
          <t>Repository evidence</t>
        </is>
      </c>
      <c r="D50" s="246" t="inlineStr">
        <is>
          <t>Repository evidence</t>
        </is>
      </c>
      <c r="E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F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G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H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I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J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K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L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M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N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O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P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Q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R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S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T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U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V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W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X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Y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  <c r="Z50" s="228" t="inlineStr">
        <is>
          <t>Sprint 1 review/closeout handoff and decision register; bootstrap application/adapters and contracts. Current AnalysisReport requires selection; stage contracts are planned under 2.14. No DB integration is claimed.</t>
        </is>
      </c>
    </row>
    <row r="51" ht="38" customHeight="1" ns3:dyDescent="0.3">
      <c r="B51" s="246" t="inlineStr">
        <is>
          <t>AI disclosure</t>
        </is>
      </c>
      <c r="C51" s="246" t="inlineStr">
        <is>
          <t>AI disclosure</t>
        </is>
      </c>
      <c r="D51" s="246" t="inlineStr">
        <is>
          <t>AI disclosure</t>
        </is>
      </c>
      <c r="E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F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G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H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I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J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K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L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M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N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O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P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Q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R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S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T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U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V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W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X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Y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  <c r="Z51" s="228" t="inlineStr">
        <is>
          <t>OpenAI Codex assisted Sprint 2 planning text, workbook editing and consistency checks in this session. Team review/understanding is pending; no assistance percentage, new signature or mentor approval is supplied.</t>
        </is>
      </c>
    </row>
    <row r="52" ht="38" customHeight="1" ns3:dyDescent="0.3">
      <c r="B52" s="246" t="inlineStr">
        <is>
          <t>Task details</t>
        </is>
      </c>
      <c r="C52" s="246" t="inlineStr">
        <is>
          <t>Task details</t>
        </is>
      </c>
      <c r="D52" s="246" t="inlineStr">
        <is>
          <t>Task details</t>
        </is>
      </c>
      <c r="E52" s="228" t="inlineStr">
        <is>
          <t>See Sprint 2 Backlog rows 55–174 for 20 task briefs/AC/dependencies/reviewers; rows 184–210 for numeric planned allocations. Daily actual-effort tracking remains separate.</t>
        </is>
      </c>
      <c r="F52" s="228" t="inlineStr">
        <is>
          <t>See Sprint 2 Backlog rows 55–174 for 20 task briefs/AC/dependencies/reviewers; rows 184–210 for numeric planned allocations. Daily actual-effort tracking remains separate.</t>
        </is>
      </c>
      <c r="G52" s="228" t="inlineStr">
        <is>
          <t>See Sprint 2 Backlog rows 55–174 for 20 task briefs/AC/dependencies/reviewers; rows 184–210 for numeric planned allocations. Daily actual-effort tracking remains separate.</t>
        </is>
      </c>
      <c r="H52" s="228" t="inlineStr">
        <is>
          <t>See Sprint 2 Backlog rows 55–174 for 20 task briefs/AC/dependencies/reviewers; rows 184–210 for numeric planned allocations. Daily actual-effort tracking remains separate.</t>
        </is>
      </c>
      <c r="I52" s="228" t="inlineStr">
        <is>
          <t>See Sprint 2 Backlog rows 55–174 for 20 task briefs/AC/dependencies/reviewers; rows 184–210 for numeric planned allocations. Daily actual-effort tracking remains separate.</t>
        </is>
      </c>
      <c r="J52" s="228" t="inlineStr">
        <is>
          <t>See Sprint 2 Backlog rows 55–174 for 20 task briefs/AC/dependencies/reviewers; rows 184–210 for numeric planned allocations. Daily actual-effort tracking remains separate.</t>
        </is>
      </c>
      <c r="K52" s="228" t="inlineStr">
        <is>
          <t>See Sprint 2 Backlog rows 55–174 for 20 task briefs/AC/dependencies/reviewers; rows 184–210 for numeric planned allocations. Daily actual-effort tracking remains separate.</t>
        </is>
      </c>
      <c r="L52" s="228" t="inlineStr">
        <is>
          <t>See Sprint 2 Backlog rows 55–174 for 20 task briefs/AC/dependencies/reviewers; rows 184–210 for numeric planned allocations. Daily actual-effort tracking remains separate.</t>
        </is>
      </c>
      <c r="M52" s="228" t="inlineStr">
        <is>
          <t>See Sprint 2 Backlog rows 55–174 for 20 task briefs/AC/dependencies/reviewers; rows 184–210 for numeric planned allocations. Daily actual-effort tracking remains separate.</t>
        </is>
      </c>
      <c r="N52" s="228" t="inlineStr">
        <is>
          <t>See Sprint 2 Backlog rows 55–174 for 20 task briefs/AC/dependencies/reviewers; rows 184–210 for numeric planned allocations. Daily actual-effort tracking remains separate.</t>
        </is>
      </c>
      <c r="O52" s="228" t="inlineStr">
        <is>
          <t>See Sprint 2 Backlog rows 55–174 for 20 task briefs/AC/dependencies/reviewers; rows 184–210 for numeric planned allocations. Daily actual-effort tracking remains separate.</t>
        </is>
      </c>
      <c r="P52" s="228" t="inlineStr">
        <is>
          <t>See Sprint 2 Backlog rows 55–174 for 20 task briefs/AC/dependencies/reviewers; rows 184–210 for numeric planned allocations. Daily actual-effort tracking remains separate.</t>
        </is>
      </c>
      <c r="Q52" s="228" t="inlineStr">
        <is>
          <t>See Sprint 2 Backlog rows 55–174 for 20 task briefs/AC/dependencies/reviewers; rows 184–210 for numeric planned allocations. Daily actual-effort tracking remains separate.</t>
        </is>
      </c>
      <c r="R52" s="228" t="inlineStr">
        <is>
          <t>See Sprint 2 Backlog rows 55–174 for 20 task briefs/AC/dependencies/reviewers; rows 184–210 for numeric planned allocations. Daily actual-effort tracking remains separate.</t>
        </is>
      </c>
      <c r="S52" s="228" t="inlineStr">
        <is>
          <t>See Sprint 2 Backlog rows 55–174 for 20 task briefs/AC/dependencies/reviewers; rows 184–210 for numeric planned allocations. Daily actual-effort tracking remains separate.</t>
        </is>
      </c>
      <c r="T52" s="228" t="inlineStr">
        <is>
          <t>See Sprint 2 Backlog rows 55–174 for 20 task briefs/AC/dependencies/reviewers; rows 184–210 for numeric planned allocations. Daily actual-effort tracking remains separate.</t>
        </is>
      </c>
      <c r="U52" s="228" t="inlineStr">
        <is>
          <t>See Sprint 2 Backlog rows 55–174 for 20 task briefs/AC/dependencies/reviewers; rows 184–210 for numeric planned allocations. Daily actual-effort tracking remains separate.</t>
        </is>
      </c>
      <c r="V52" s="228" t="inlineStr">
        <is>
          <t>See Sprint 2 Backlog rows 55–174 for 20 task briefs/AC/dependencies/reviewers; rows 184–210 for numeric planned allocations. Daily actual-effort tracking remains separate.</t>
        </is>
      </c>
      <c r="W52" s="228" t="inlineStr">
        <is>
          <t>See Sprint 2 Backlog rows 55–174 for 20 task briefs/AC/dependencies/reviewers; rows 184–210 for numeric planned allocations. Daily actual-effort tracking remains separate.</t>
        </is>
      </c>
      <c r="X52" s="228" t="inlineStr">
        <is>
          <t>See Sprint 2 Backlog rows 55–174 for 20 task briefs/AC/dependencies/reviewers; rows 184–210 for numeric planned allocations. Daily actual-effort tracking remains separate.</t>
        </is>
      </c>
      <c r="Y52" s="228" t="inlineStr">
        <is>
          <t>See Sprint 2 Backlog rows 55–174 for 20 task briefs/AC/dependencies/reviewers; rows 184–210 for numeric planned allocations. Daily actual-effort tracking remains separate.</t>
        </is>
      </c>
      <c r="Z52" s="228" t="inlineStr">
        <is>
          <t>See Sprint 2 Backlog rows 55–174 for 20 task briefs/AC/dependencies/reviewers; rows 184–210 for numeric planned allocations. Daily actual-effort tracking remains separate.</t>
        </is>
      </c>
    </row>
    <row r="53" ht="38" customHeight="1" ns3:dyDescent="0.3">
      <c r="B53" s="246" t="inlineStr">
        <is>
          <t>Tracking interpretation</t>
        </is>
      </c>
      <c r="C53" s="246" t="inlineStr">
        <is>
          <t>Tracking interpretation</t>
        </is>
      </c>
      <c r="D53" s="246" t="inlineStr">
        <is>
          <t>Tracking interpretation</t>
        </is>
      </c>
      <c r="E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F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G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H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I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J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K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L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M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N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O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P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Q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R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S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T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U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V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W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X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Y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  <c r="Z53" s="228" t="inlineStr">
        <is>
          <t>Backlog burn-down/up formulas aggregate existing daily completed-estimate entries. All existing daily entries are blank/zero. No measured progress curve or new actual outcomes are created here.</t>
        </is>
      </c>
    </row>
    <row r="54" ht="13.5" customHeight="1" ns3:dyDescent="0.3"/>
    <row r="55" ht="38" customHeight="1" ns3:dyDescent="0.3">
      <c r="B55" s="251" t="inlineStr">
        <is>
          <t>Member key</t>
        </is>
      </c>
      <c r="C55" s="251"/>
      <c r="D55" s="251"/>
      <c r="E55" s="251" t="inlineStr">
        <is>
          <t>H1 = Nguyen Tan Huy; AN = Do Ha An; H2 = Pham Phan Hoang Huy; KH = Tran Hung Khanh; VI = Dang Dai Viet.</t>
        </is>
      </c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</row>
    <row r="56" ht="13.5" customHeight="1" ns3:dyDescent="0.3"/>
    <row r="57" ht="13.5" customHeight="1" ns3:dyDescent="0.3"/>
    <row r="58" ht="13.5" customHeight="1" ns3:dyDescent="0.3"/>
    <row r="59" ht="13.5" customHeight="1" ns3:dyDescent="0.3"/>
    <row r="60" ht="13.5" customHeight="1" ns3:dyDescent="0.3"/>
    <row r="61" ht="13.5" customHeight="1" ns3:dyDescent="0.3"/>
    <row r="62" ht="13.5" customHeight="1" ns3:dyDescent="0.3"/>
    <row r="63" ht="13.5" customHeight="1" ns3:dyDescent="0.3"/>
    <row r="64" ht="13.5" customHeight="1" ns3:dyDescent="0.3"/>
    <row r="65" ht="13.5" customHeight="1" ns3:dyDescent="0.3"/>
    <row r="66" ht="13.5" customHeight="1" ns3:dyDescent="0.3"/>
    <row r="67" ht="13.5" customHeight="1" ns3:dyDescent="0.3"/>
    <row r="68" ht="13.5" customHeight="1" ns3:dyDescent="0.3"/>
    <row r="69" ht="13.5" customHeight="1" ns3:dyDescent="0.3"/>
    <row r="70" ht="13.5" customHeight="1" ns3:dyDescent="0.3"/>
    <row r="71" ht="13.5" customHeight="1" ns3:dyDescent="0.3"/>
    <row r="72" ht="13.5" customHeight="1" ns3:dyDescent="0.3"/>
    <row r="73" ht="13.5" customHeight="1" ns3:dyDescent="0.3"/>
    <row r="74" ht="13.5" customHeight="1" ns3:dyDescent="0.3"/>
    <row r="75" ht="13.5" customHeight="1" ns3:dyDescent="0.3"/>
    <row r="76" ht="13.5" customHeight="1" ns3:dyDescent="0.3"/>
    <row r="77" ht="13.5" customHeight="1" ns3:dyDescent="0.3"/>
    <row r="78" ht="13.5" customHeight="1" ns3:dyDescent="0.3"/>
    <row r="79" ht="13.5" customHeight="1" ns3:dyDescent="0.3"/>
    <row r="80" ht="13.5" customHeight="1" ns3:dyDescent="0.3"/>
    <row r="81" ht="13.5" customHeight="1" ns3:dyDescent="0.3"/>
    <row r="82" ht="13.5" customHeight="1" ns3:dyDescent="0.3"/>
    <row r="83" ht="13.5" customHeight="1" ns3:dyDescent="0.3"/>
    <row r="84" ht="13.5" customHeight="1" ns3:dyDescent="0.3"/>
    <row r="85" ht="13.5" customHeight="1" ns3:dyDescent="0.3"/>
    <row r="86" ht="13.5" customHeight="1" ns3:dyDescent="0.3"/>
    <row r="87" ht="13.5" customHeight="1" ns3:dyDescent="0.3"/>
    <row r="88" ht="13.5" customHeight="1" ns3:dyDescent="0.3"/>
    <row r="89" ht="13.5" customHeight="1" ns3:dyDescent="0.3"/>
    <row r="90" ht="13.5" customHeight="1" ns3:dyDescent="0.3"/>
    <row r="91" ht="13.5" customHeight="1" ns3:dyDescent="0.3"/>
    <row r="92" ht="13.5" customHeight="1" ns3:dyDescent="0.3"/>
    <row r="93" ht="13.5" customHeight="1" ns3:dyDescent="0.3"/>
    <row r="94" ht="13.5" customHeight="1" ns3:dyDescent="0.3"/>
    <row r="95" ht="13.5" customHeight="1" ns3:dyDescent="0.3"/>
    <row r="96" ht="13.5" customHeight="1" ns3:dyDescent="0.3"/>
    <row r="97" ht="13.5" customHeight="1" ns3:dyDescent="0.3"/>
    <row r="98" ht="13.5" customHeight="1" ns3:dyDescent="0.3"/>
    <row r="99" ht="13.5" customHeight="1" ns3:dyDescent="0.3"/>
    <row r="100" ht="13.5" customHeight="1" ns3:dyDescent="0.3"/>
    <row r="101" ht="13.5" customHeight="1" ns3:dyDescent="0.3"/>
    <row r="102" ht="13.5" customHeight="1" ns3:dyDescent="0.3"/>
    <row r="103" ht="13.5" customHeight="1" ns3:dyDescent="0.3"/>
    <row r="104" ht="13.5" customHeight="1" ns3:dyDescent="0.3"/>
    <row r="105" ht="13.5" customHeight="1" ns3:dyDescent="0.3"/>
    <row r="106" ht="13.5" customHeight="1" ns3:dyDescent="0.3"/>
    <row r="107" ht="13.5" customHeight="1" ns3:dyDescent="0.3"/>
    <row r="108" ht="13.5" customHeight="1" ns3:dyDescent="0.3"/>
    <row r="109" ht="13.5" customHeight="1" ns3:dyDescent="0.3"/>
    <row r="110" ht="13.5" customHeight="1" ns3:dyDescent="0.3"/>
    <row r="111" ht="13.5" customHeight="1" ns3:dyDescent="0.3"/>
    <row r="112" ht="13.5" customHeight="1" ns3:dyDescent="0.3"/>
    <row r="113" ht="13.5" customHeight="1" ns3:dyDescent="0.3"/>
    <row r="114" ht="13.5" customHeight="1" ns3:dyDescent="0.3"/>
    <row r="115" ht="13.5" customHeight="1" ns3:dyDescent="0.3"/>
    <row r="116" ht="13.5" customHeight="1" ns3:dyDescent="0.3"/>
    <row r="117" ht="13.5" customHeight="1" ns3:dyDescent="0.3"/>
    <row r="118" ht="13.5" customHeight="1" ns3:dyDescent="0.3"/>
    <row r="119" ht="13.5" customHeight="1" ns3:dyDescent="0.3"/>
    <row r="120" ht="13.5" customHeight="1" ns3:dyDescent="0.3"/>
    <row r="121" ht="13.5" customHeight="1" ns3:dyDescent="0.3"/>
    <row r="122" ht="13.5" customHeight="1" ns3:dyDescent="0.3"/>
    <row r="123" ht="13.5" customHeight="1" ns3:dyDescent="0.3"/>
    <row r="124" ht="13.5" customHeight="1" ns3:dyDescent="0.3"/>
    <row r="125" ht="13.5" customHeight="1" ns3:dyDescent="0.3"/>
    <row r="126" ht="13.5" customHeight="1" ns3:dyDescent="0.3"/>
    <row r="127" ht="13.5" customHeight="1" ns3:dyDescent="0.3"/>
    <row r="128" ht="13.5" customHeight="1" ns3:dyDescent="0.3"/>
    <row r="129" ht="13.5" customHeight="1" ns3:dyDescent="0.3"/>
    <row r="130" ht="13.5" customHeight="1" ns3:dyDescent="0.3"/>
    <row r="131" ht="13.5" customHeight="1" ns3:dyDescent="0.3"/>
    <row r="132" ht="13.5" customHeight="1" ns3:dyDescent="0.3"/>
    <row r="133" ht="13.5" customHeight="1" ns3:dyDescent="0.3"/>
    <row r="134" ht="13.5" customHeight="1" ns3:dyDescent="0.3"/>
    <row r="135" ht="13.5" customHeight="1" ns3:dyDescent="0.3"/>
    <row r="136" ht="13.5" customHeight="1" ns3:dyDescent="0.3"/>
    <row r="137" ht="13.5" customHeight="1" ns3:dyDescent="0.3"/>
    <row r="138" ht="13.5" customHeight="1" ns3:dyDescent="0.3"/>
    <row r="139" ht="13.5" customHeight="1" ns3:dyDescent="0.3"/>
    <row r="140" ht="13.5" customHeight="1" ns3:dyDescent="0.3"/>
    <row r="141" ht="13.5" customHeight="1" ns3:dyDescent="0.3"/>
    <row r="142" ht="13.5" customHeight="1" ns3:dyDescent="0.3"/>
    <row r="143" ht="13.5" customHeight="1" ns3:dyDescent="0.3"/>
    <row r="144" ht="13.5" customHeight="1" ns3:dyDescent="0.3"/>
    <row r="145" ht="13.5" customHeight="1" ns3:dyDescent="0.3"/>
    <row r="146" ht="13.5" customHeight="1" ns3:dyDescent="0.3"/>
    <row r="147" ht="13.5" customHeight="1" ns3:dyDescent="0.3"/>
    <row r="148" ht="13.5" customHeight="1" ns3:dyDescent="0.3"/>
    <row r="149" ht="13.5" customHeight="1" ns3:dyDescent="0.3"/>
    <row r="150" ht="13.5" customHeight="1" ns3:dyDescent="0.3"/>
    <row r="151" ht="13.5" customHeight="1" ns3:dyDescent="0.3"/>
    <row r="152" ht="13.5" customHeight="1" ns3:dyDescent="0.3"/>
    <row r="153" ht="13.5" customHeight="1" ns3:dyDescent="0.3"/>
    <row r="154" ht="13.5" customHeight="1" ns3:dyDescent="0.3"/>
    <row r="155" ht="13.5" customHeight="1" ns3:dyDescent="0.3"/>
    <row r="156" ht="13.5" customHeight="1" ns3:dyDescent="0.3"/>
    <row r="157" ht="13.5" customHeight="1" ns3:dyDescent="0.3"/>
    <row r="158" ht="13.5" customHeight="1" ns3:dyDescent="0.3"/>
    <row r="159" ht="13.5" customHeight="1" ns3:dyDescent="0.3"/>
    <row r="160" ht="13.5" customHeight="1" ns3:dyDescent="0.3"/>
    <row r="161" ht="13.5" customHeight="1" ns3:dyDescent="0.3"/>
    <row r="162" ht="13.5" customHeight="1" ns3:dyDescent="0.3"/>
    <row r="163" ht="13.5" customHeight="1" ns3:dyDescent="0.3"/>
    <row r="164" ht="13.5" customHeight="1" ns3:dyDescent="0.3"/>
    <row r="165" ht="13.5" customHeight="1" ns3:dyDescent="0.3"/>
    <row r="166" ht="13.5" customHeight="1" ns3:dyDescent="0.3"/>
    <row r="167" ht="13.5" customHeight="1" ns3:dyDescent="0.3"/>
    <row r="168" ht="13.5" customHeight="1" ns3:dyDescent="0.3"/>
    <row r="169" ht="13.5" customHeight="1" ns3:dyDescent="0.3"/>
    <row r="170" ht="13.5" customHeight="1" ns3:dyDescent="0.3"/>
    <row r="171" ht="13.5" customHeight="1" ns3:dyDescent="0.3"/>
    <row r="172" ht="13.5" customHeight="1" ns3:dyDescent="0.3"/>
    <row r="173" ht="13.5" customHeight="1" ns3:dyDescent="0.3"/>
    <row r="174" ht="13.5" customHeight="1" ns3:dyDescent="0.3"/>
    <row r="175" ht="13.5" customHeight="1" ns3:dyDescent="0.3"/>
    <row r="176" ht="13.5" customHeight="1" ns3:dyDescent="0.3"/>
    <row r="177" ht="13.5" customHeight="1" ns3:dyDescent="0.3"/>
    <row r="178" ht="13.5" customHeight="1" ns3:dyDescent="0.3"/>
    <row r="179" ht="13.5" customHeight="1" ns3:dyDescent="0.3"/>
    <row r="180" ht="13.5" customHeight="1" ns3:dyDescent="0.3"/>
    <row r="181" ht="13.5" customHeight="1" ns3:dyDescent="0.3"/>
    <row r="182" ht="13.5" customHeight="1" ns3:dyDescent="0.3"/>
    <row r="183" ht="13.5" customHeight="1" ns3:dyDescent="0.3"/>
    <row r="184" ht="13.5" customHeight="1" ns3:dyDescent="0.3"/>
    <row r="185" ht="13.5" customHeight="1" ns3:dyDescent="0.3"/>
    <row r="186" ht="13.5" customHeight="1" ns3:dyDescent="0.3"/>
    <row r="187" ht="13.5" customHeight="1" ns3:dyDescent="0.3"/>
    <row r="188" ht="13.5" customHeight="1" ns3:dyDescent="0.3"/>
    <row r="189" ht="13.5" customHeight="1" ns3:dyDescent="0.3"/>
    <row r="190" ht="13.5" customHeight="1" ns3:dyDescent="0.3"/>
    <row r="191" ht="13.5" customHeight="1" ns3:dyDescent="0.3"/>
    <row r="192" ht="13.5" customHeight="1" ns3:dyDescent="0.3"/>
    <row r="193" ht="13.5" customHeight="1" ns3:dyDescent="0.3"/>
    <row r="194" ht="13.5" customHeight="1" ns3:dyDescent="0.3"/>
    <row r="195" ht="13.5" customHeight="1" ns3:dyDescent="0.3"/>
    <row r="196" ht="13.5" customHeight="1" ns3:dyDescent="0.3"/>
    <row r="197" ht="13.5" customHeight="1" ns3:dyDescent="0.3"/>
    <row r="198" ht="13.5" customHeight="1" ns3:dyDescent="0.3"/>
    <row r="199" ht="13.5" customHeight="1" ns3:dyDescent="0.3"/>
    <row r="200" ht="13.5" customHeight="1" ns3:dyDescent="0.3"/>
    <row r="201" ht="13.5" customHeight="1" ns3:dyDescent="0.3"/>
    <row r="202" ht="13.5" customHeight="1" ns3:dyDescent="0.3"/>
    <row r="203" ht="13.5" customHeight="1" ns3:dyDescent="0.3"/>
    <row r="204" ht="13.5" customHeight="1" ns3:dyDescent="0.3"/>
    <row r="205" ht="13.5" customHeight="1" ns3:dyDescent="0.3"/>
    <row r="206" ht="13.5" customHeight="1" ns3:dyDescent="0.3"/>
    <row r="207" ht="13.5" customHeight="1" ns3:dyDescent="0.3"/>
    <row r="208" ht="13.5" customHeight="1" ns3:dyDescent="0.3"/>
    <row r="209" ht="13.5" customHeight="1" ns3:dyDescent="0.3"/>
    <row r="210" ht="13.5" customHeight="1" ns3:dyDescent="0.3"/>
    <row r="211" ht="13.5" customHeight="1" ns3:dyDescent="0.3"/>
    <row r="212" ht="13.5" customHeight="1" ns3:dyDescent="0.3"/>
    <row r="213" ht="13.5" customHeight="1" ns3:dyDescent="0.3"/>
    <row r="214" ht="13.5" customHeight="1" ns3:dyDescent="0.3"/>
    <row r="215" ht="13.5" customHeight="1" ns3:dyDescent="0.3"/>
    <row r="216" ht="13.5" customHeight="1" ns3:dyDescent="0.3"/>
    <row r="217" ht="13.5" customHeight="1" ns3:dyDescent="0.3"/>
    <row r="218" ht="13.5" customHeight="1" ns3:dyDescent="0.3"/>
    <row r="219" ht="13.5" customHeight="1" ns3:dyDescent="0.3"/>
    <row r="220" ht="13.5" customHeight="1" ns3:dyDescent="0.3"/>
    <row r="221" ht="13.5" customHeight="1" ns3:dyDescent="0.3"/>
    <row r="222" ht="13.5" customHeight="1" ns3:dyDescent="0.3"/>
    <row r="223" ht="13.5" customHeight="1" ns3:dyDescent="0.3"/>
    <row r="224" ht="13.5" customHeight="1" ns3:dyDescent="0.3"/>
    <row r="225" ht="13.5" customHeight="1" ns3:dyDescent="0.3"/>
    <row r="226" ht="13.5" customHeight="1" ns3:dyDescent="0.3"/>
    <row r="227" ht="13.5" customHeight="1" ns3:dyDescent="0.3"/>
    <row r="228" ht="13.5" customHeight="1" ns3:dyDescent="0.3"/>
    <row r="229" ht="13.5" customHeight="1" ns3:dyDescent="0.3"/>
    <row r="230" ht="13.5" customHeight="1" ns3:dyDescent="0.3"/>
    <row r="231" ht="13.5" customHeight="1" ns3:dyDescent="0.3"/>
    <row r="232" ht="13.5" customHeight="1" ns3:dyDescent="0.3"/>
    <row r="233" ht="13.5" customHeight="1" ns3:dyDescent="0.3"/>
    <row r="234" ht="13.5" customHeight="1" ns3:dyDescent="0.3"/>
    <row r="235" ht="13.5" customHeight="1" ns3:dyDescent="0.3"/>
    <row r="236" ht="13.5" customHeight="1" ns3:dyDescent="0.3"/>
    <row r="237" ht="13.5" customHeight="1" ns3:dyDescent="0.3"/>
    <row r="238" ht="13.5" customHeight="1" ns3:dyDescent="0.3"/>
    <row r="239" ht="13.5" customHeight="1" ns3:dyDescent="0.3"/>
    <row r="240" ht="13.5" customHeight="1" ns3:dyDescent="0.3"/>
    <row r="241" ht="13.5" customHeight="1" ns3:dyDescent="0.3"/>
    <row r="242" ht="13.5" customHeight="1" ns3:dyDescent="0.3"/>
    <row r="243" ht="13.5" customHeight="1" ns3:dyDescent="0.3"/>
    <row r="244" ht="13.5" customHeight="1" ns3:dyDescent="0.3"/>
    <row r="245" ht="13.5" customHeight="1" ns3:dyDescent="0.3"/>
    <row r="246" ht="13.5" customHeight="1" ns3:dyDescent="0.3"/>
    <row r="247" ht="13.5" customHeight="1" ns3:dyDescent="0.3"/>
    <row r="248" ht="13.5" customHeight="1" ns3:dyDescent="0.3"/>
    <row r="249" ht="13.5" customHeight="1" ns3:dyDescent="0.3"/>
    <row r="250" ht="13.5" customHeight="1" ns3:dyDescent="0.3"/>
    <row r="251" ht="13.5" customHeight="1" ns3:dyDescent="0.3"/>
    <row r="252" ht="13.5" customHeight="1" ns3:dyDescent="0.3"/>
    <row r="253" ht="13.5" customHeight="1" ns3:dyDescent="0.3"/>
    <row r="254" ht="13.5" customHeight="1" ns3:dyDescent="0.3"/>
    <row r="255" ht="13.5" customHeight="1" ns3:dyDescent="0.3"/>
    <row r="256" ht="13.5" customHeight="1" ns3:dyDescent="0.3"/>
    <row r="257" ht="13.5" customHeight="1" ns3:dyDescent="0.3"/>
    <row r="258" ht="13.5" customHeight="1" ns3:dyDescent="0.3"/>
    <row r="259" ht="13.5" customHeight="1" ns3:dyDescent="0.3"/>
    <row r="260" ht="13.5" customHeight="1" ns3:dyDescent="0.3"/>
    <row r="261" ht="13.5" customHeight="1" ns3:dyDescent="0.3"/>
    <row r="262" ht="13.5" customHeight="1" ns3:dyDescent="0.3"/>
    <row r="263" ht="13.5" customHeight="1" ns3:dyDescent="0.3"/>
    <row r="264" ht="13.5" customHeight="1" ns3:dyDescent="0.3"/>
    <row r="265" ht="13.5" customHeight="1" ns3:dyDescent="0.3"/>
    <row r="266" ht="13.5" customHeight="1" ns3:dyDescent="0.3"/>
    <row r="267" ht="13.5" customHeight="1" ns3:dyDescent="0.3"/>
    <row r="268" ht="13.5" customHeight="1" ns3:dyDescent="0.3"/>
    <row r="269" ht="13.5" customHeight="1" ns3:dyDescent="0.3"/>
    <row r="270" ht="13.5" customHeight="1" ns3:dyDescent="0.3"/>
    <row r="271" ht="13.5" customHeight="1" ns3:dyDescent="0.3"/>
    <row r="272" ht="13.5" customHeight="1" ns3:dyDescent="0.3"/>
    <row r="273" ht="13.5" customHeight="1" ns3:dyDescent="0.3"/>
    <row r="274" ht="13.5" customHeight="1" ns3:dyDescent="0.3"/>
    <row r="275" ht="13.5" customHeight="1" ns3:dyDescent="0.3"/>
    <row r="276" ht="13.5" customHeight="1" ns3:dyDescent="0.3"/>
    <row r="277" ht="13.5" customHeight="1" ns3:dyDescent="0.3"/>
    <row r="278" ht="13.5" customHeight="1" ns3:dyDescent="0.3"/>
    <row r="279" ht="13.5" customHeight="1" ns3:dyDescent="0.3"/>
    <row r="280" ht="13.5" customHeight="1" ns3:dyDescent="0.3"/>
    <row r="281" ht="13.5" customHeight="1" ns3:dyDescent="0.3"/>
    <row r="282" ht="13.5" customHeight="1" ns3:dyDescent="0.3"/>
    <row r="283" ht="13.5" customHeight="1" ns3:dyDescent="0.3"/>
    <row r="284" ht="13.5" customHeight="1" ns3:dyDescent="0.3"/>
    <row r="285" ht="13.5" customHeight="1" ns3:dyDescent="0.3"/>
    <row r="286" ht="13.5" customHeight="1" ns3:dyDescent="0.3"/>
    <row r="287" ht="13.5" customHeight="1" ns3:dyDescent="0.3"/>
    <row r="288" ht="13.5" customHeight="1" ns3:dyDescent="0.3"/>
    <row r="289" ht="13.5" customHeight="1" ns3:dyDescent="0.3"/>
    <row r="290" ht="13.5" customHeight="1" ns3:dyDescent="0.3"/>
    <row r="291" ht="13.5" customHeight="1" ns3:dyDescent="0.3"/>
    <row r="292" ht="13.5" customHeight="1" ns3:dyDescent="0.3"/>
    <row r="293" ht="13.5" customHeight="1" ns3:dyDescent="0.3"/>
    <row r="294" ht="13.5" customHeight="1" ns3:dyDescent="0.3"/>
    <row r="295" ht="13.5" customHeight="1" ns3:dyDescent="0.3"/>
    <row r="296" ht="13.5" customHeight="1" ns3:dyDescent="0.3"/>
    <row r="297" ht="13.5" customHeight="1" ns3:dyDescent="0.3"/>
    <row r="298" ht="13.5" customHeight="1" ns3:dyDescent="0.3"/>
    <row r="299" ht="13.5" customHeight="1" ns3:dyDescent="0.3"/>
    <row r="300" ht="13.5" customHeight="1" ns3:dyDescent="0.3"/>
    <row r="301" ht="13.5" customHeight="1" ns3:dyDescent="0.3"/>
    <row r="302" ht="13.5" customHeight="1" ns3:dyDescent="0.3"/>
    <row r="303" ht="13.5" customHeight="1" ns3:dyDescent="0.3"/>
    <row r="304" ht="13.5" customHeight="1" ns3:dyDescent="0.3"/>
    <row r="305" ht="13.5" customHeight="1" ns3:dyDescent="0.3"/>
    <row r="306" ht="13.5" customHeight="1" ns3:dyDescent="0.3"/>
    <row r="307" ht="13.5" customHeight="1" ns3:dyDescent="0.3"/>
    <row r="308" ht="13.5" customHeight="1" ns3:dyDescent="0.3"/>
    <row r="309" ht="13.5" customHeight="1" ns3:dyDescent="0.3"/>
    <row r="310" ht="13.5" customHeight="1" ns3:dyDescent="0.3"/>
    <row r="311" ht="13.5" customHeight="1" ns3:dyDescent="0.3"/>
    <row r="312" ht="13.5" customHeight="1" ns3:dyDescent="0.3"/>
    <row r="313" ht="13.5" customHeight="1" ns3:dyDescent="0.3"/>
    <row r="314" ht="13.5" customHeight="1" ns3:dyDescent="0.3"/>
    <row r="315" ht="13.5" customHeight="1" ns3:dyDescent="0.3"/>
    <row r="316" ht="13.5" customHeight="1" ns3:dyDescent="0.3"/>
    <row r="317" ht="13.5" customHeight="1" ns3:dyDescent="0.3"/>
    <row r="318" ht="13.5" customHeight="1" ns3:dyDescent="0.3"/>
    <row r="319" ht="13.5" customHeight="1" ns3:dyDescent="0.3"/>
    <row r="320" ht="13.5" customHeight="1" ns3:dyDescent="0.3"/>
    <row r="321" ht="13.5" customHeight="1" ns3:dyDescent="0.3"/>
    <row r="322" ht="13.5" customHeight="1" ns3:dyDescent="0.3"/>
    <row r="323" ht="13.5" customHeight="1" ns3:dyDescent="0.3"/>
    <row r="324" ht="13.5" customHeight="1" ns3:dyDescent="0.3"/>
    <row r="325" ht="13.5" customHeight="1" ns3:dyDescent="0.3"/>
    <row r="326" ht="13.5" customHeight="1" ns3:dyDescent="0.3"/>
    <row r="327" ht="13.5" customHeight="1" ns3:dyDescent="0.3"/>
    <row r="328" ht="13.5" customHeight="1" ns3:dyDescent="0.3"/>
    <row r="329" ht="13.5" customHeight="1" ns3:dyDescent="0.3"/>
    <row r="330" ht="13.5" customHeight="1" ns3:dyDescent="0.3"/>
    <row r="331" ht="13.5" customHeight="1" ns3:dyDescent="0.3"/>
    <row r="332" ht="13.5" customHeight="1" ns3:dyDescent="0.3"/>
    <row r="333" ht="13.5" customHeight="1" ns3:dyDescent="0.3"/>
    <row r="334" ht="13.5" customHeight="1" ns3:dyDescent="0.3"/>
    <row r="335" ht="13.5" customHeight="1" ns3:dyDescent="0.3"/>
    <row r="336" ht="13.5" customHeight="1" ns3:dyDescent="0.3"/>
    <row r="337" ht="13.5" customHeight="1" ns3:dyDescent="0.3"/>
    <row r="338" ht="13.5" customHeight="1" ns3:dyDescent="0.3"/>
    <row r="339" ht="13.5" customHeight="1" ns3:dyDescent="0.3"/>
    <row r="340" ht="13.5" customHeight="1" ns3:dyDescent="0.3"/>
    <row r="341" ht="13.5" customHeight="1" ns3:dyDescent="0.3"/>
    <row r="342" ht="13.5" customHeight="1" ns3:dyDescent="0.3"/>
    <row r="343" ht="13.5" customHeight="1" ns3:dyDescent="0.3"/>
    <row r="344" ht="13.5" customHeight="1" ns3:dyDescent="0.3"/>
    <row r="345" ht="13.5" customHeight="1" ns3:dyDescent="0.3"/>
    <row r="346" ht="13.5" customHeight="1" ns3:dyDescent="0.3"/>
    <row r="347" ht="13.5" customHeight="1" ns3:dyDescent="0.3"/>
    <row r="348" ht="13.5" customHeight="1" ns3:dyDescent="0.3"/>
    <row r="349" ht="13.5" customHeight="1" ns3:dyDescent="0.3"/>
    <row r="350" ht="13.5" customHeight="1" ns3:dyDescent="0.3"/>
    <row r="351" ht="13.5" customHeight="1" ns3:dyDescent="0.3"/>
    <row r="352" ht="13.5" customHeight="1" ns3:dyDescent="0.3"/>
    <row r="353" ht="13.5" customHeight="1" ns3:dyDescent="0.3"/>
    <row r="354" ht="13.5" customHeight="1" ns3:dyDescent="0.3"/>
    <row r="355" ht="13.5" customHeight="1" ns3:dyDescent="0.3"/>
    <row r="356" ht="13.5" customHeight="1" ns3:dyDescent="0.3"/>
    <row r="357" ht="13.5" customHeight="1" ns3:dyDescent="0.3"/>
    <row r="358" ht="13.5" customHeight="1" ns3:dyDescent="0.3"/>
    <row r="359" ht="13.5" customHeight="1" ns3:dyDescent="0.3"/>
    <row r="360" ht="13.5" customHeight="1" ns3:dyDescent="0.3"/>
    <row r="361" ht="13.5" customHeight="1" ns3:dyDescent="0.3"/>
    <row r="362" ht="13.5" customHeight="1" ns3:dyDescent="0.3"/>
    <row r="363" ht="13.5" customHeight="1" ns3:dyDescent="0.3"/>
    <row r="364" ht="13.5" customHeight="1" ns3:dyDescent="0.3"/>
    <row r="365" ht="13.5" customHeight="1" ns3:dyDescent="0.3"/>
    <row r="366" ht="13.5" customHeight="1" ns3:dyDescent="0.3"/>
    <row r="367" ht="13.5" customHeight="1" ns3:dyDescent="0.3"/>
    <row r="368" ht="13.5" customHeight="1" ns3:dyDescent="0.3"/>
    <row r="369" ht="13.5" customHeight="1" ns3:dyDescent="0.3"/>
    <row r="370" ht="13.5" customHeight="1" ns3:dyDescent="0.3"/>
    <row r="371" ht="13.5" customHeight="1" ns3:dyDescent="0.3"/>
    <row r="372" ht="13.5" customHeight="1" ns3:dyDescent="0.3"/>
    <row r="373" ht="13.5" customHeight="1" ns3:dyDescent="0.3"/>
    <row r="374" ht="13.5" customHeight="1" ns3:dyDescent="0.3"/>
    <row r="375" ht="13.5" customHeight="1" ns3:dyDescent="0.3"/>
    <row r="376" ht="13.5" customHeight="1" ns3:dyDescent="0.3"/>
    <row r="377" ht="13.5" customHeight="1" ns3:dyDescent="0.3"/>
    <row r="378" ht="13.5" customHeight="1" ns3:dyDescent="0.3"/>
    <row r="379" ht="13.5" customHeight="1" ns3:dyDescent="0.3"/>
    <row r="380" ht="13.5" customHeight="1" ns3:dyDescent="0.3"/>
    <row r="381" ht="13.5" customHeight="1" ns3:dyDescent="0.3"/>
    <row r="382" ht="13.5" customHeight="1" ns3:dyDescent="0.3"/>
    <row r="383" ht="13.5" customHeight="1" ns3:dyDescent="0.3"/>
    <row r="384" ht="13.5" customHeight="1" ns3:dyDescent="0.3"/>
    <row r="385" ht="13.5" customHeight="1" ns3:dyDescent="0.3"/>
    <row r="386" ht="13.5" customHeight="1" ns3:dyDescent="0.3"/>
    <row r="387" ht="13.5" customHeight="1" ns3:dyDescent="0.3"/>
    <row r="388" ht="13.5" customHeight="1" ns3:dyDescent="0.3"/>
    <row r="389" ht="13.5" customHeight="1" ns3:dyDescent="0.3"/>
    <row r="390" ht="13.5" customHeight="1" ns3:dyDescent="0.3"/>
    <row r="391" ht="13.5" customHeight="1" ns3:dyDescent="0.3"/>
    <row r="392" ht="13.5" customHeight="1" ns3:dyDescent="0.3"/>
    <row r="393" ht="13.5" customHeight="1" ns3:dyDescent="0.3"/>
    <row r="394" ht="13.5" customHeight="1" ns3:dyDescent="0.3"/>
    <row r="395" ht="13.5" customHeight="1" ns3:dyDescent="0.3"/>
    <row r="396" ht="13.5" customHeight="1" ns3:dyDescent="0.3"/>
    <row r="397" ht="13.5" customHeight="1" ns3:dyDescent="0.3"/>
    <row r="398" ht="13.5" customHeight="1" ns3:dyDescent="0.3"/>
    <row r="399" ht="13.5" customHeight="1" ns3:dyDescent="0.3"/>
    <row r="400" ht="13.5" customHeight="1" ns3:dyDescent="0.3"/>
    <row r="401" ht="13.5" customHeight="1" ns3:dyDescent="0.3"/>
    <row r="402" ht="13.5" customHeight="1" ns3:dyDescent="0.3"/>
    <row r="403" ht="13.5" customHeight="1" ns3:dyDescent="0.3"/>
    <row r="404" ht="13.5" customHeight="1" ns3:dyDescent="0.3"/>
    <row r="405" ht="13.5" customHeight="1" ns3:dyDescent="0.3"/>
    <row r="406" ht="13.5" customHeight="1" ns3:dyDescent="0.3"/>
    <row r="407" ht="13.5" customHeight="1" ns3:dyDescent="0.3"/>
    <row r="408" ht="13.5" customHeight="1" ns3:dyDescent="0.3"/>
    <row r="409" ht="13.5" customHeight="1" ns3:dyDescent="0.3"/>
    <row r="410" ht="13.5" customHeight="1" ns3:dyDescent="0.3"/>
    <row r="411" ht="13.5" customHeight="1" ns3:dyDescent="0.3"/>
    <row r="412" ht="13.5" customHeight="1" ns3:dyDescent="0.3"/>
    <row r="413" ht="13.5" customHeight="1" ns3:dyDescent="0.3"/>
    <row r="414" ht="13.5" customHeight="1" ns3:dyDescent="0.3"/>
    <row r="415" ht="13.5" customHeight="1" ns3:dyDescent="0.3"/>
    <row r="416" ht="13.5" customHeight="1" ns3:dyDescent="0.3"/>
    <row r="417" ht="13.5" customHeight="1" ns3:dyDescent="0.3"/>
    <row r="418" ht="13.5" customHeight="1" ns3:dyDescent="0.3"/>
    <row r="419" ht="13.5" customHeight="1" ns3:dyDescent="0.3"/>
    <row r="420" ht="13.5" customHeight="1" ns3:dyDescent="0.3"/>
    <row r="421" ht="13.5" customHeight="1" ns3:dyDescent="0.3"/>
    <row r="422" ht="13.5" customHeight="1" ns3:dyDescent="0.3"/>
    <row r="423" ht="13.5" customHeight="1" ns3:dyDescent="0.3"/>
    <row r="424" ht="13.5" customHeight="1" ns3:dyDescent="0.3"/>
    <row r="425" ht="13.5" customHeight="1" ns3:dyDescent="0.3"/>
    <row r="426" ht="13.5" customHeight="1" ns3:dyDescent="0.3"/>
    <row r="427" ht="13.5" customHeight="1" ns3:dyDescent="0.3"/>
    <row r="428" ht="13.5" customHeight="1" ns3:dyDescent="0.3"/>
    <row r="429" ht="13.5" customHeight="1" ns3:dyDescent="0.3"/>
    <row r="430" ht="13.5" customHeight="1" ns3:dyDescent="0.3"/>
    <row r="431" ht="13.5" customHeight="1" ns3:dyDescent="0.3"/>
    <row r="432" ht="13.5" customHeight="1" ns3:dyDescent="0.3"/>
    <row r="433" ht="13.5" customHeight="1" ns3:dyDescent="0.3"/>
    <row r="434" ht="13.5" customHeight="1" ns3:dyDescent="0.3"/>
    <row r="435" ht="13.5" customHeight="1" ns3:dyDescent="0.3"/>
    <row r="436" ht="13.5" customHeight="1" ns3:dyDescent="0.3"/>
    <row r="437" ht="13.5" customHeight="1" ns3:dyDescent="0.3"/>
    <row r="438" ht="13.5" customHeight="1" ns3:dyDescent="0.3"/>
    <row r="439" ht="13.5" customHeight="1" ns3:dyDescent="0.3"/>
    <row r="440" ht="13.5" customHeight="1" ns3:dyDescent="0.3"/>
    <row r="441" ht="13.5" customHeight="1" ns3:dyDescent="0.3"/>
    <row r="442" ht="13.5" customHeight="1" ns3:dyDescent="0.3"/>
    <row r="443" ht="13.5" customHeight="1" ns3:dyDescent="0.3"/>
    <row r="444" ht="13.5" customHeight="1" ns3:dyDescent="0.3"/>
    <row r="445" ht="13.5" customHeight="1" ns3:dyDescent="0.3"/>
    <row r="446" ht="13.5" customHeight="1" ns3:dyDescent="0.3"/>
    <row r="447" ht="13.5" customHeight="1" ns3:dyDescent="0.3"/>
    <row r="448" ht="13.5" customHeight="1" ns3:dyDescent="0.3"/>
    <row r="449" ht="13.5" customHeight="1" ns3:dyDescent="0.3"/>
    <row r="450" ht="13.5" customHeight="1" ns3:dyDescent="0.3"/>
    <row r="451" ht="13.5" customHeight="1" ns3:dyDescent="0.3"/>
    <row r="452" ht="13.5" customHeight="1" ns3:dyDescent="0.3"/>
    <row r="453" ht="13.5" customHeight="1" ns3:dyDescent="0.3"/>
    <row r="454" ht="13.5" customHeight="1" ns3:dyDescent="0.3"/>
    <row r="455" ht="13.5" customHeight="1" ns3:dyDescent="0.3"/>
    <row r="456" ht="13.5" customHeight="1" ns3:dyDescent="0.3"/>
    <row r="457" ht="13.5" customHeight="1" ns3:dyDescent="0.3"/>
    <row r="458" ht="13.5" customHeight="1" ns3:dyDescent="0.3"/>
    <row r="459" ht="13.5" customHeight="1" ns3:dyDescent="0.3"/>
    <row r="460" ht="13.5" customHeight="1" ns3:dyDescent="0.3"/>
    <row r="461" ht="13.5" customHeight="1" ns3:dyDescent="0.3"/>
    <row r="462" ht="13.5" customHeight="1" ns3:dyDescent="0.3"/>
    <row r="463" ht="13.5" customHeight="1" ns3:dyDescent="0.3"/>
    <row r="464" ht="13.5" customHeight="1" ns3:dyDescent="0.3"/>
    <row r="465" ht="13.5" customHeight="1" ns3:dyDescent="0.3"/>
    <row r="466" ht="13.5" customHeight="1" ns3:dyDescent="0.3"/>
    <row r="467" ht="13.5" customHeight="1" ns3:dyDescent="0.3"/>
    <row r="468" ht="13.5" customHeight="1" ns3:dyDescent="0.3"/>
    <row r="469" ht="13.5" customHeight="1" ns3:dyDescent="0.3"/>
    <row r="470" ht="13.5" customHeight="1" ns3:dyDescent="0.3"/>
    <row r="471" ht="13.5" customHeight="1" ns3:dyDescent="0.3"/>
    <row r="472" ht="13.5" customHeight="1" ns3:dyDescent="0.3"/>
    <row r="473" ht="13.5" customHeight="1" ns3:dyDescent="0.3"/>
    <row r="474" ht="13.5" customHeight="1" ns3:dyDescent="0.3"/>
    <row r="475" ht="13.5" customHeight="1" ns3:dyDescent="0.3"/>
    <row r="476" ht="13.5" customHeight="1" ns3:dyDescent="0.3"/>
    <row r="477" ht="13.5" customHeight="1" ns3:dyDescent="0.3"/>
    <row r="478" ht="13.5" customHeight="1" ns3:dyDescent="0.3"/>
    <row r="479" ht="13.5" customHeight="1" ns3:dyDescent="0.3"/>
    <row r="480" ht="13.5" customHeight="1" ns3:dyDescent="0.3"/>
    <row r="481" ht="13.5" customHeight="1" ns3:dyDescent="0.3"/>
    <row r="482" ht="13.5" customHeight="1" ns3:dyDescent="0.3"/>
    <row r="483" ht="13.5" customHeight="1" ns3:dyDescent="0.3"/>
    <row r="484" ht="13.5" customHeight="1" ns3:dyDescent="0.3"/>
    <row r="485" ht="13.5" customHeight="1" ns3:dyDescent="0.3"/>
    <row r="486" ht="13.5" customHeight="1" ns3:dyDescent="0.3"/>
    <row r="487" ht="13.5" customHeight="1" ns3:dyDescent="0.3"/>
    <row r="488" ht="13.5" customHeight="1" ns3:dyDescent="0.3"/>
    <row r="489" ht="13.5" customHeight="1" ns3:dyDescent="0.3"/>
    <row r="490" ht="13.5" customHeight="1" ns3:dyDescent="0.3"/>
    <row r="491" ht="13.5" customHeight="1" ns3:dyDescent="0.3"/>
    <row r="492" ht="13.5" customHeight="1" ns3:dyDescent="0.3"/>
    <row r="493" ht="13.5" customHeight="1" ns3:dyDescent="0.3"/>
    <row r="494" ht="13.5" customHeight="1" ns3:dyDescent="0.3"/>
    <row r="495" ht="13.5" customHeight="1" ns3:dyDescent="0.3"/>
    <row r="496" ht="13.5" customHeight="1" ns3:dyDescent="0.3"/>
    <row r="497" ht="13.5" customHeight="1" ns3:dyDescent="0.3"/>
    <row r="498" ht="13.5" customHeight="1" ns3:dyDescent="0.3"/>
    <row r="499" ht="13.5" customHeight="1" ns3:dyDescent="0.3"/>
    <row r="500" ht="13.5" customHeight="1" ns3:dyDescent="0.3"/>
    <row r="501" ht="13.5" customHeight="1" ns3:dyDescent="0.3"/>
    <row r="502" ht="13.5" customHeight="1" ns3:dyDescent="0.3"/>
    <row r="503" ht="13.5" customHeight="1" ns3:dyDescent="0.3"/>
    <row r="504" ht="13.5" customHeight="1" ns3:dyDescent="0.3"/>
    <row r="505" ht="13.5" customHeight="1" ns3:dyDescent="0.3"/>
    <row r="506" ht="13.5" customHeight="1" ns3:dyDescent="0.3"/>
    <row r="507" ht="13.5" customHeight="1" ns3:dyDescent="0.3"/>
    <row r="508" ht="13.5" customHeight="1" ns3:dyDescent="0.3"/>
    <row r="509" ht="13.5" customHeight="1" ns3:dyDescent="0.3"/>
    <row r="510" ht="13.5" customHeight="1" ns3:dyDescent="0.3"/>
    <row r="511" ht="13.5" customHeight="1" ns3:dyDescent="0.3"/>
    <row r="512" ht="13.5" customHeight="1" ns3:dyDescent="0.3"/>
    <row r="513" ht="13.5" customHeight="1" ns3:dyDescent="0.3"/>
    <row r="514" ht="13.5" customHeight="1" ns3:dyDescent="0.3"/>
    <row r="515" ht="13.5" customHeight="1" ns3:dyDescent="0.3"/>
    <row r="516" ht="13.5" customHeight="1" ns3:dyDescent="0.3"/>
    <row r="517" ht="13.5" customHeight="1" ns3:dyDescent="0.3"/>
    <row r="518" ht="13.5" customHeight="1" ns3:dyDescent="0.3"/>
    <row r="519" ht="13.5" customHeight="1" ns3:dyDescent="0.3"/>
    <row r="520" ht="13.5" customHeight="1" ns3:dyDescent="0.3"/>
    <row r="521" ht="13.5" customHeight="1" ns3:dyDescent="0.3"/>
    <row r="522" ht="13.5" customHeight="1" ns3:dyDescent="0.3"/>
    <row r="523" ht="13.5" customHeight="1" ns3:dyDescent="0.3"/>
    <row r="524" ht="13.5" customHeight="1" ns3:dyDescent="0.3"/>
    <row r="525" ht="13.5" customHeight="1" ns3:dyDescent="0.3"/>
    <row r="526" ht="13.5" customHeight="1" ns3:dyDescent="0.3"/>
    <row r="527" ht="13.5" customHeight="1" ns3:dyDescent="0.3"/>
    <row r="528" ht="13.5" customHeight="1" ns3:dyDescent="0.3"/>
    <row r="529" ht="13.5" customHeight="1" ns3:dyDescent="0.3"/>
    <row r="530" ht="13.5" customHeight="1" ns3:dyDescent="0.3"/>
    <row r="531" ht="13.5" customHeight="1" ns3:dyDescent="0.3"/>
    <row r="532" ht="13.5" customHeight="1" ns3:dyDescent="0.3"/>
    <row r="533" ht="13.5" customHeight="1" ns3:dyDescent="0.3"/>
    <row r="534" ht="13.5" customHeight="1" ns3:dyDescent="0.3"/>
    <row r="535" ht="13.5" customHeight="1" ns3:dyDescent="0.3"/>
    <row r="536" ht="13.5" customHeight="1" ns3:dyDescent="0.3"/>
    <row r="537" ht="13.5" customHeight="1" ns3:dyDescent="0.3"/>
    <row r="538" ht="13.5" customHeight="1" ns3:dyDescent="0.3"/>
    <row r="539" ht="13.5" customHeight="1" ns3:dyDescent="0.3"/>
    <row r="540" ht="13.5" customHeight="1" ns3:dyDescent="0.3"/>
    <row r="541" ht="13.5" customHeight="1" ns3:dyDescent="0.3"/>
    <row r="542" ht="13.5" customHeight="1" ns3:dyDescent="0.3"/>
    <row r="543" ht="13.5" customHeight="1" ns3:dyDescent="0.3"/>
    <row r="544" ht="13.5" customHeight="1" ns3:dyDescent="0.3"/>
    <row r="545" ht="13.5" customHeight="1" ns3:dyDescent="0.3"/>
    <row r="546" ht="13.5" customHeight="1" ns3:dyDescent="0.3"/>
    <row r="547" ht="13.5" customHeight="1" ns3:dyDescent="0.3"/>
    <row r="548" ht="13.5" customHeight="1" ns3:dyDescent="0.3"/>
    <row r="549" ht="13.5" customHeight="1" ns3:dyDescent="0.3"/>
    <row r="550" ht="13.5" customHeight="1" ns3:dyDescent="0.3"/>
    <row r="551" ht="13.5" customHeight="1" ns3:dyDescent="0.3"/>
    <row r="552" ht="13.5" customHeight="1" ns3:dyDescent="0.3"/>
    <row r="553" ht="13.5" customHeight="1" ns3:dyDescent="0.3"/>
    <row r="554" ht="13.5" customHeight="1" ns3:dyDescent="0.3"/>
    <row r="555" ht="13.5" customHeight="1" ns3:dyDescent="0.3"/>
    <row r="556" ht="13.5" customHeight="1" ns3:dyDescent="0.3"/>
    <row r="557" ht="13.5" customHeight="1" ns3:dyDescent="0.3"/>
    <row r="558" ht="13.5" customHeight="1" ns3:dyDescent="0.3"/>
    <row r="559" ht="13.5" customHeight="1" ns3:dyDescent="0.3"/>
    <row r="560" ht="13.5" customHeight="1" ns3:dyDescent="0.3"/>
    <row r="561" ht="13.5" customHeight="1" ns3:dyDescent="0.3"/>
    <row r="562" ht="13.5" customHeight="1" ns3:dyDescent="0.3"/>
    <row r="563" ht="13.5" customHeight="1" ns3:dyDescent="0.3"/>
    <row r="564" ht="13.5" customHeight="1" ns3:dyDescent="0.3"/>
    <row r="565" ht="13.5" customHeight="1" ns3:dyDescent="0.3"/>
    <row r="566" ht="13.5" customHeight="1" ns3:dyDescent="0.3"/>
    <row r="567" ht="13.5" customHeight="1" ns3:dyDescent="0.3"/>
    <row r="568" ht="13.5" customHeight="1" ns3:dyDescent="0.3"/>
    <row r="569" ht="13.5" customHeight="1" ns3:dyDescent="0.3"/>
    <row r="570" ht="13.5" customHeight="1" ns3:dyDescent="0.3"/>
    <row r="571" ht="13.5" customHeight="1" ns3:dyDescent="0.3"/>
    <row r="572" ht="13.5" customHeight="1" ns3:dyDescent="0.3"/>
    <row r="573" ht="13.5" customHeight="1" ns3:dyDescent="0.3"/>
    <row r="574" ht="13.5" customHeight="1" ns3:dyDescent="0.3"/>
    <row r="575" ht="13.5" customHeight="1" ns3:dyDescent="0.3"/>
    <row r="576" ht="13.5" customHeight="1" ns3:dyDescent="0.3"/>
    <row r="577" ht="13.5" customHeight="1" ns3:dyDescent="0.3"/>
    <row r="578" ht="13.5" customHeight="1" ns3:dyDescent="0.3"/>
    <row r="579" ht="13.5" customHeight="1" ns3:dyDescent="0.3"/>
    <row r="580" ht="13.5" customHeight="1" ns3:dyDescent="0.3"/>
    <row r="581" ht="13.5" customHeight="1" ns3:dyDescent="0.3"/>
    <row r="582" ht="13.5" customHeight="1" ns3:dyDescent="0.3"/>
    <row r="583" ht="13.5" customHeight="1" ns3:dyDescent="0.3"/>
    <row r="584" ht="13.5" customHeight="1" ns3:dyDescent="0.3"/>
    <row r="585" ht="13.5" customHeight="1" ns3:dyDescent="0.3"/>
    <row r="586" ht="13.5" customHeight="1" ns3:dyDescent="0.3"/>
    <row r="587" ht="13.5" customHeight="1" ns3:dyDescent="0.3"/>
    <row r="588" ht="13.5" customHeight="1" ns3:dyDescent="0.3"/>
    <row r="589" ht="13.5" customHeight="1" ns3:dyDescent="0.3"/>
    <row r="590" ht="13.5" customHeight="1" ns3:dyDescent="0.3"/>
    <row r="591" ht="13.5" customHeight="1" ns3:dyDescent="0.3"/>
    <row r="592" ht="13.5" customHeight="1" ns3:dyDescent="0.3"/>
    <row r="593" ht="13.5" customHeight="1" ns3:dyDescent="0.3"/>
    <row r="594" ht="13.5" customHeight="1" ns3:dyDescent="0.3"/>
    <row r="595" ht="13.5" customHeight="1" ns3:dyDescent="0.3"/>
    <row r="596" ht="13.5" customHeight="1" ns3:dyDescent="0.3"/>
    <row r="597" ht="13.5" customHeight="1" ns3:dyDescent="0.3"/>
    <row r="598" ht="13.5" customHeight="1" ns3:dyDescent="0.3"/>
    <row r="599" ht="13.5" customHeight="1" ns3:dyDescent="0.3"/>
    <row r="600" ht="13.5" customHeight="1" ns3:dyDescent="0.3"/>
    <row r="601" ht="13.5" customHeight="1" ns3:dyDescent="0.3"/>
    <row r="602" ht="13.5" customHeight="1" ns3:dyDescent="0.3"/>
    <row r="603" ht="13.5" customHeight="1" ns3:dyDescent="0.3"/>
    <row r="604" ht="13.5" customHeight="1" ns3:dyDescent="0.3"/>
    <row r="605" ht="13.5" customHeight="1" ns3:dyDescent="0.3"/>
    <row r="606" ht="13.5" customHeight="1" ns3:dyDescent="0.3"/>
    <row r="607" ht="13.5" customHeight="1" ns3:dyDescent="0.3"/>
    <row r="608" ht="13.5" customHeight="1" ns3:dyDescent="0.3"/>
    <row r="609" ht="13.5" customHeight="1" ns3:dyDescent="0.3"/>
    <row r="610" ht="13.5" customHeight="1" ns3:dyDescent="0.3"/>
    <row r="611" ht="13.5" customHeight="1" ns3:dyDescent="0.3"/>
    <row r="612" ht="13.5" customHeight="1" ns3:dyDescent="0.3"/>
    <row r="613" ht="13.5" customHeight="1" ns3:dyDescent="0.3"/>
    <row r="614" ht="13.5" customHeight="1" ns3:dyDescent="0.3"/>
    <row r="615" ht="13.5" customHeight="1" ns3:dyDescent="0.3"/>
    <row r="616" ht="13.5" customHeight="1" ns3:dyDescent="0.3"/>
    <row r="617" ht="13.5" customHeight="1" ns3:dyDescent="0.3"/>
    <row r="618" ht="13.5" customHeight="1" ns3:dyDescent="0.3"/>
    <row r="619" ht="13.5" customHeight="1" ns3:dyDescent="0.3"/>
    <row r="620" ht="13.5" customHeight="1" ns3:dyDescent="0.3"/>
    <row r="621" ht="13.5" customHeight="1" ns3:dyDescent="0.3"/>
    <row r="622" ht="13.5" customHeight="1" ns3:dyDescent="0.3"/>
    <row r="623" ht="13.5" customHeight="1" ns3:dyDescent="0.3"/>
    <row r="624" ht="13.5" customHeight="1" ns3:dyDescent="0.3"/>
    <row r="625" ht="13.5" customHeight="1" ns3:dyDescent="0.3"/>
    <row r="626" ht="13.5" customHeight="1" ns3:dyDescent="0.3"/>
    <row r="627" ht="13.5" customHeight="1" ns3:dyDescent="0.3"/>
    <row r="628" ht="13.5" customHeight="1" ns3:dyDescent="0.3"/>
    <row r="629" ht="13.5" customHeight="1" ns3:dyDescent="0.3"/>
    <row r="630" ht="13.5" customHeight="1" ns3:dyDescent="0.3"/>
    <row r="631" ht="13.5" customHeight="1" ns3:dyDescent="0.3"/>
    <row r="632" ht="13.5" customHeight="1" ns3:dyDescent="0.3"/>
    <row r="633" ht="13.5" customHeight="1" ns3:dyDescent="0.3"/>
    <row r="634" ht="13.5" customHeight="1" ns3:dyDescent="0.3"/>
    <row r="635" ht="13.5" customHeight="1" ns3:dyDescent="0.3"/>
    <row r="636" ht="13.5" customHeight="1" ns3:dyDescent="0.3"/>
    <row r="637" ht="13.5" customHeight="1" ns3:dyDescent="0.3"/>
    <row r="638" ht="13.5" customHeight="1" ns3:dyDescent="0.3"/>
    <row r="639" ht="13.5" customHeight="1" ns3:dyDescent="0.3"/>
    <row r="640" ht="13.5" customHeight="1" ns3:dyDescent="0.3"/>
    <row r="641" ht="13.5" customHeight="1" ns3:dyDescent="0.3"/>
    <row r="642" ht="13.5" customHeight="1" ns3:dyDescent="0.3"/>
    <row r="643" ht="13.5" customHeight="1" ns3:dyDescent="0.3"/>
    <row r="644" ht="13.5" customHeight="1" ns3:dyDescent="0.3"/>
    <row r="645" ht="13.5" customHeight="1" ns3:dyDescent="0.3"/>
    <row r="646" ht="13.5" customHeight="1" ns3:dyDescent="0.3"/>
    <row r="647" ht="13.5" customHeight="1" ns3:dyDescent="0.3"/>
    <row r="648" ht="13.5" customHeight="1" ns3:dyDescent="0.3"/>
    <row r="649" ht="13.5" customHeight="1" ns3:dyDescent="0.3"/>
    <row r="650" ht="13.5" customHeight="1" ns3:dyDescent="0.3"/>
    <row r="651" ht="13.5" customHeight="1" ns3:dyDescent="0.3"/>
    <row r="652" ht="13.5" customHeight="1" ns3:dyDescent="0.3"/>
    <row r="653" ht="13.5" customHeight="1" ns3:dyDescent="0.3"/>
    <row r="654" ht="13.5" customHeight="1" ns3:dyDescent="0.3"/>
    <row r="655" ht="13.5" customHeight="1" ns3:dyDescent="0.3"/>
    <row r="656" ht="13.5" customHeight="1" ns3:dyDescent="0.3"/>
    <row r="657" ht="13.5" customHeight="1" ns3:dyDescent="0.3"/>
    <row r="658" ht="13.5" customHeight="1" ns3:dyDescent="0.3"/>
    <row r="659" ht="13.5" customHeight="1" ns3:dyDescent="0.3"/>
    <row r="660" ht="13.5" customHeight="1" ns3:dyDescent="0.3"/>
    <row r="661" ht="13.5" customHeight="1" ns3:dyDescent="0.3"/>
    <row r="662" ht="13.5" customHeight="1" ns3:dyDescent="0.3"/>
    <row r="663" ht="13.5" customHeight="1" ns3:dyDescent="0.3"/>
    <row r="664" ht="13.5" customHeight="1" ns3:dyDescent="0.3"/>
    <row r="665" ht="13.5" customHeight="1" ns3:dyDescent="0.3"/>
    <row r="666" ht="13.5" customHeight="1" ns3:dyDescent="0.3"/>
    <row r="667" ht="13.5" customHeight="1" ns3:dyDescent="0.3"/>
    <row r="668" ht="13.5" customHeight="1" ns3:dyDescent="0.3"/>
    <row r="669" ht="13.5" customHeight="1" ns3:dyDescent="0.3"/>
    <row r="670" ht="13.5" customHeight="1" ns3:dyDescent="0.3"/>
    <row r="671" ht="13.5" customHeight="1" ns3:dyDescent="0.3"/>
    <row r="672" ht="13.5" customHeight="1" ns3:dyDescent="0.3"/>
    <row r="673" ht="13.5" customHeight="1" ns3:dyDescent="0.3"/>
    <row r="674" ht="13.5" customHeight="1" ns3:dyDescent="0.3"/>
    <row r="675" ht="13.5" customHeight="1" ns3:dyDescent="0.3"/>
    <row r="676" ht="13.5" customHeight="1" ns3:dyDescent="0.3"/>
    <row r="677" ht="13.5" customHeight="1" ns3:dyDescent="0.3"/>
    <row r="678" ht="13.5" customHeight="1" ns3:dyDescent="0.3"/>
    <row r="679" ht="13.5" customHeight="1" ns3:dyDescent="0.3"/>
    <row r="680" ht="13.5" customHeight="1" ns3:dyDescent="0.3"/>
    <row r="681" ht="13.5" customHeight="1" ns3:dyDescent="0.3"/>
    <row r="682" ht="13.5" customHeight="1" ns3:dyDescent="0.3"/>
    <row r="683" ht="13.5" customHeight="1" ns3:dyDescent="0.3"/>
    <row r="684" ht="13.5" customHeight="1" ns3:dyDescent="0.3"/>
    <row r="685" ht="13.5" customHeight="1" ns3:dyDescent="0.3"/>
    <row r="686" ht="13.5" customHeight="1" ns3:dyDescent="0.3"/>
    <row r="687" ht="13.5" customHeight="1" ns3:dyDescent="0.3"/>
    <row r="688" ht="13.5" customHeight="1" ns3:dyDescent="0.3"/>
    <row r="689" ht="13.5" customHeight="1" ns3:dyDescent="0.3"/>
    <row r="690" ht="13.5" customHeight="1" ns3:dyDescent="0.3"/>
    <row r="691" ht="13.5" customHeight="1" ns3:dyDescent="0.3"/>
    <row r="692" ht="13.5" customHeight="1" ns3:dyDescent="0.3"/>
    <row r="693" ht="13.5" customHeight="1" ns3:dyDescent="0.3"/>
    <row r="694" ht="13.5" customHeight="1" ns3:dyDescent="0.3"/>
    <row r="695" ht="13.5" customHeight="1" ns3:dyDescent="0.3"/>
    <row r="696" ht="13.5" customHeight="1" ns3:dyDescent="0.3"/>
    <row r="697" ht="13.5" customHeight="1" ns3:dyDescent="0.3"/>
    <row r="698" ht="13.5" customHeight="1" ns3:dyDescent="0.3"/>
    <row r="699" ht="13.5" customHeight="1" ns3:dyDescent="0.3"/>
    <row r="700" ht="13.5" customHeight="1" ns3:dyDescent="0.3"/>
    <row r="701" ht="13.5" customHeight="1" ns3:dyDescent="0.3"/>
    <row r="702" ht="13.5" customHeight="1" ns3:dyDescent="0.3"/>
    <row r="703" ht="13.5" customHeight="1" ns3:dyDescent="0.3"/>
    <row r="704" ht="13.5" customHeight="1" ns3:dyDescent="0.3"/>
    <row r="705" ht="13.5" customHeight="1" ns3:dyDescent="0.3"/>
    <row r="706" ht="13.5" customHeight="1" ns3:dyDescent="0.3"/>
    <row r="707" ht="13.5" customHeight="1" ns3:dyDescent="0.3"/>
    <row r="708" ht="13.5" customHeight="1" ns3:dyDescent="0.3"/>
    <row r="709" ht="13.5" customHeight="1" ns3:dyDescent="0.3"/>
    <row r="710" ht="13.5" customHeight="1" ns3:dyDescent="0.3"/>
    <row r="711" ht="13.5" customHeight="1" ns3:dyDescent="0.3"/>
    <row r="712" ht="13.5" customHeight="1" ns3:dyDescent="0.3"/>
    <row r="713" ht="13.5" customHeight="1" ns3:dyDescent="0.3"/>
    <row r="714" ht="13.5" customHeight="1" ns3:dyDescent="0.3"/>
    <row r="715" ht="13.5" customHeight="1" ns3:dyDescent="0.3"/>
    <row r="716" ht="13.5" customHeight="1" ns3:dyDescent="0.3"/>
    <row r="717" ht="13.5" customHeight="1" ns3:dyDescent="0.3"/>
    <row r="718" ht="13.5" customHeight="1" ns3:dyDescent="0.3"/>
    <row r="719" ht="13.5" customHeight="1" ns3:dyDescent="0.3"/>
    <row r="720" ht="13.5" customHeight="1" ns3:dyDescent="0.3"/>
    <row r="721" ht="13.5" customHeight="1" ns3:dyDescent="0.3"/>
    <row r="722" ht="13.5" customHeight="1" ns3:dyDescent="0.3"/>
    <row r="723" ht="13.5" customHeight="1" ns3:dyDescent="0.3"/>
    <row r="724" ht="13.5" customHeight="1" ns3:dyDescent="0.3"/>
    <row r="725" ht="13.5" customHeight="1" ns3:dyDescent="0.3"/>
    <row r="726" ht="13.5" customHeight="1" ns3:dyDescent="0.3"/>
    <row r="727" ht="13.5" customHeight="1" ns3:dyDescent="0.3"/>
    <row r="728" ht="13.5" customHeight="1" ns3:dyDescent="0.3"/>
    <row r="729" ht="13.5" customHeight="1" ns3:dyDescent="0.3"/>
    <row r="730" ht="13.5" customHeight="1" ns3:dyDescent="0.3"/>
    <row r="731" ht="13.5" customHeight="1" ns3:dyDescent="0.3"/>
    <row r="732" ht="13.5" customHeight="1" ns3:dyDescent="0.3"/>
    <row r="733" ht="13.5" customHeight="1" ns3:dyDescent="0.3"/>
    <row r="734" ht="13.5" customHeight="1" ns3:dyDescent="0.3"/>
    <row r="735" ht="13.5" customHeight="1" ns3:dyDescent="0.3"/>
    <row r="736" ht="13.5" customHeight="1" ns3:dyDescent="0.3"/>
    <row r="737" ht="13.5" customHeight="1" ns3:dyDescent="0.3"/>
    <row r="738" ht="13.5" customHeight="1" ns3:dyDescent="0.3"/>
    <row r="739" ht="13.5" customHeight="1" ns3:dyDescent="0.3"/>
    <row r="740" ht="13.5" customHeight="1" ns3:dyDescent="0.3"/>
    <row r="741" ht="13.5" customHeight="1" ns3:dyDescent="0.3"/>
    <row r="742" ht="13.5" customHeight="1" ns3:dyDescent="0.3"/>
    <row r="743" ht="13.5" customHeight="1" ns3:dyDescent="0.3"/>
    <row r="744" ht="13.5" customHeight="1" ns3:dyDescent="0.3"/>
    <row r="745" ht="13.5" customHeight="1" ns3:dyDescent="0.3"/>
    <row r="746" ht="13.5" customHeight="1" ns3:dyDescent="0.3"/>
    <row r="747" ht="13.5" customHeight="1" ns3:dyDescent="0.3"/>
    <row r="748" ht="13.5" customHeight="1" ns3:dyDescent="0.3"/>
    <row r="749" ht="13.5" customHeight="1" ns3:dyDescent="0.3"/>
    <row r="750" ht="13.5" customHeight="1" ns3:dyDescent="0.3"/>
    <row r="751" ht="13.5" customHeight="1" ns3:dyDescent="0.3"/>
    <row r="752" ht="13.5" customHeight="1" ns3:dyDescent="0.3"/>
    <row r="753" ht="13.5" customHeight="1" ns3:dyDescent="0.3"/>
    <row r="754" ht="13.5" customHeight="1" ns3:dyDescent="0.3"/>
    <row r="755" ht="13.5" customHeight="1" ns3:dyDescent="0.3"/>
    <row r="756" ht="13.5" customHeight="1" ns3:dyDescent="0.3"/>
    <row r="757" ht="13.5" customHeight="1" ns3:dyDescent="0.3"/>
    <row r="758" ht="13.5" customHeight="1" ns3:dyDescent="0.3"/>
    <row r="759" ht="13.5" customHeight="1" ns3:dyDescent="0.3"/>
    <row r="760" ht="13.5" customHeight="1" ns3:dyDescent="0.3"/>
    <row r="761" ht="13.5" customHeight="1" ns3:dyDescent="0.3"/>
    <row r="762" ht="13.5" customHeight="1" ns3:dyDescent="0.3"/>
    <row r="763" ht="13.5" customHeight="1" ns3:dyDescent="0.3"/>
    <row r="764" ht="13.5" customHeight="1" ns3:dyDescent="0.3"/>
    <row r="765" ht="13.5" customHeight="1" ns3:dyDescent="0.3"/>
    <row r="766" ht="13.5" customHeight="1" ns3:dyDescent="0.3"/>
    <row r="767" ht="13.5" customHeight="1" ns3:dyDescent="0.3"/>
    <row r="768" ht="13.5" customHeight="1" ns3:dyDescent="0.3"/>
    <row r="769" ht="13.5" customHeight="1" ns3:dyDescent="0.3"/>
    <row r="770" ht="13.5" customHeight="1" ns3:dyDescent="0.3"/>
    <row r="771" ht="13.5" customHeight="1" ns3:dyDescent="0.3"/>
    <row r="772" ht="13.5" customHeight="1" ns3:dyDescent="0.3"/>
    <row r="773" ht="13.5" customHeight="1" ns3:dyDescent="0.3"/>
    <row r="774" ht="13.5" customHeight="1" ns3:dyDescent="0.3"/>
    <row r="775" ht="13.5" customHeight="1" ns3:dyDescent="0.3"/>
    <row r="776" ht="13.5" customHeight="1" ns3:dyDescent="0.3"/>
    <row r="777" ht="13.5" customHeight="1" ns3:dyDescent="0.3"/>
    <row r="778" ht="13.5" customHeight="1" ns3:dyDescent="0.3"/>
    <row r="779" ht="13.5" customHeight="1" ns3:dyDescent="0.3"/>
    <row r="780" ht="13.5" customHeight="1" ns3:dyDescent="0.3"/>
    <row r="781" ht="13.5" customHeight="1" ns3:dyDescent="0.3"/>
    <row r="782" ht="13.5" customHeight="1" ns3:dyDescent="0.3"/>
    <row r="783" ht="13.5" customHeight="1" ns3:dyDescent="0.3"/>
    <row r="784" ht="13.5" customHeight="1" ns3:dyDescent="0.3"/>
    <row r="785" ht="13.5" customHeight="1" ns3:dyDescent="0.3"/>
    <row r="786" ht="13.5" customHeight="1" ns3:dyDescent="0.3"/>
    <row r="787" ht="13.5" customHeight="1" ns3:dyDescent="0.3"/>
    <row r="788" ht="13.5" customHeight="1" ns3:dyDescent="0.3"/>
    <row r="789" ht="13.5" customHeight="1" ns3:dyDescent="0.3"/>
    <row r="790" ht="13.5" customHeight="1" ns3:dyDescent="0.3"/>
    <row r="791" ht="13.5" customHeight="1" ns3:dyDescent="0.3"/>
    <row r="792" ht="13.5" customHeight="1" ns3:dyDescent="0.3"/>
    <row r="793" ht="13.5" customHeight="1" ns3:dyDescent="0.3"/>
    <row r="794" ht="13.5" customHeight="1" ns3:dyDescent="0.3"/>
    <row r="795" ht="13.5" customHeight="1" ns3:dyDescent="0.3"/>
    <row r="796" ht="13.5" customHeight="1" ns3:dyDescent="0.3"/>
    <row r="797" ht="13.5" customHeight="1" ns3:dyDescent="0.3"/>
    <row r="798" ht="13.5" customHeight="1" ns3:dyDescent="0.3"/>
    <row r="799" ht="13.5" customHeight="1" ns3:dyDescent="0.3"/>
    <row r="800" ht="13.5" customHeight="1" ns3:dyDescent="0.3"/>
    <row r="801" ht="13.5" customHeight="1" ns3:dyDescent="0.3"/>
    <row r="802" ht="13.5" customHeight="1" ns3:dyDescent="0.3"/>
    <row r="803" ht="13.5" customHeight="1" ns3:dyDescent="0.3"/>
    <row r="804" ht="13.5" customHeight="1" ns3:dyDescent="0.3"/>
    <row r="805" ht="13.5" customHeight="1" ns3:dyDescent="0.3"/>
    <row r="806" ht="13.5" customHeight="1" ns3:dyDescent="0.3"/>
    <row r="807" ht="13.5" customHeight="1" ns3:dyDescent="0.3"/>
    <row r="808" ht="13.5" customHeight="1" ns3:dyDescent="0.3"/>
    <row r="809" ht="13.5" customHeight="1" ns3:dyDescent="0.3"/>
    <row r="810" ht="13.5" customHeight="1" ns3:dyDescent="0.3"/>
    <row r="811" ht="13.5" customHeight="1" ns3:dyDescent="0.3"/>
    <row r="812" ht="13.5" customHeight="1" ns3:dyDescent="0.3"/>
    <row r="813" ht="13.5" customHeight="1" ns3:dyDescent="0.3"/>
    <row r="814" ht="13.5" customHeight="1" ns3:dyDescent="0.3"/>
    <row r="815" ht="13.5" customHeight="1" ns3:dyDescent="0.3"/>
    <row r="816" ht="13.5" customHeight="1" ns3:dyDescent="0.3"/>
    <row r="817" ht="13.5" customHeight="1" ns3:dyDescent="0.3"/>
    <row r="818" ht="13.5" customHeight="1" ns3:dyDescent="0.3"/>
    <row r="819" ht="13.5" customHeight="1" ns3:dyDescent="0.3"/>
    <row r="820" ht="13.5" customHeight="1" ns3:dyDescent="0.3"/>
    <row r="821" ht="13.5" customHeight="1" ns3:dyDescent="0.3"/>
    <row r="822" ht="13.5" customHeight="1" ns3:dyDescent="0.3"/>
    <row r="823" ht="13.5" customHeight="1" ns3:dyDescent="0.3"/>
    <row r="824" ht="13.5" customHeight="1" ns3:dyDescent="0.3"/>
    <row r="825" ht="13.5" customHeight="1" ns3:dyDescent="0.3"/>
    <row r="826" ht="13.5" customHeight="1" ns3:dyDescent="0.3"/>
    <row r="827" ht="13.5" customHeight="1" ns3:dyDescent="0.3"/>
    <row r="828" ht="13.5" customHeight="1" ns3:dyDescent="0.3"/>
    <row r="829" ht="13.5" customHeight="1" ns3:dyDescent="0.3"/>
    <row r="830" ht="13.5" customHeight="1" ns3:dyDescent="0.3"/>
    <row r="831" ht="13.5" customHeight="1" ns3:dyDescent="0.3"/>
    <row r="832" ht="13.5" customHeight="1" ns3:dyDescent="0.3"/>
    <row r="833" ht="13.5" customHeight="1" ns3:dyDescent="0.3"/>
    <row r="834" ht="13.5" customHeight="1" ns3:dyDescent="0.3"/>
    <row r="835" ht="13.5" customHeight="1" ns3:dyDescent="0.3"/>
    <row r="836" ht="13.5" customHeight="1" ns3:dyDescent="0.3"/>
    <row r="837" ht="13.5" customHeight="1" ns3:dyDescent="0.3"/>
    <row r="838" ht="13.5" customHeight="1" ns3:dyDescent="0.3"/>
    <row r="839" ht="13.5" customHeight="1" ns3:dyDescent="0.3"/>
    <row r="840" ht="13.5" customHeight="1" ns3:dyDescent="0.3"/>
    <row r="841" ht="13.5" customHeight="1" ns3:dyDescent="0.3"/>
    <row r="842" ht="13.5" customHeight="1" ns3:dyDescent="0.3"/>
    <row r="843" ht="13.5" customHeight="1" ns3:dyDescent="0.3"/>
    <row r="844" ht="13.5" customHeight="1" ns3:dyDescent="0.3"/>
    <row r="845" ht="13.5" customHeight="1" ns3:dyDescent="0.3"/>
    <row r="846" ht="13.5" customHeight="1" ns3:dyDescent="0.3"/>
    <row r="847" ht="13.5" customHeight="1" ns3:dyDescent="0.3"/>
    <row r="848" ht="13.5" customHeight="1" ns3:dyDescent="0.3"/>
    <row r="849" ht="13.5" customHeight="1" ns3:dyDescent="0.3"/>
    <row r="850" ht="13.5" customHeight="1" ns3:dyDescent="0.3"/>
    <row r="851" ht="13.5" customHeight="1" ns3:dyDescent="0.3"/>
    <row r="852" ht="13.5" customHeight="1" ns3:dyDescent="0.3"/>
    <row r="853" ht="13.5" customHeight="1" ns3:dyDescent="0.3"/>
    <row r="854" ht="13.5" customHeight="1" ns3:dyDescent="0.3"/>
    <row r="855" ht="13.5" customHeight="1" ns3:dyDescent="0.3"/>
    <row r="856" ht="13.5" customHeight="1" ns3:dyDescent="0.3"/>
    <row r="857" ht="13.5" customHeight="1" ns3:dyDescent="0.3"/>
    <row r="858" ht="13.5" customHeight="1" ns3:dyDescent="0.3"/>
    <row r="859" ht="13.5" customHeight="1" ns3:dyDescent="0.3"/>
    <row r="860" ht="13.5" customHeight="1" ns3:dyDescent="0.3"/>
    <row r="861" ht="13.5" customHeight="1" ns3:dyDescent="0.3"/>
    <row r="862" ht="13.5" customHeight="1" ns3:dyDescent="0.3"/>
    <row r="863" ht="13.5" customHeight="1" ns3:dyDescent="0.3"/>
    <row r="864" ht="13.5" customHeight="1" ns3:dyDescent="0.3"/>
    <row r="865" ht="13.5" customHeight="1" ns3:dyDescent="0.3"/>
    <row r="866" ht="13.5" customHeight="1" ns3:dyDescent="0.3"/>
    <row r="867" ht="13.5" customHeight="1" ns3:dyDescent="0.3"/>
    <row r="868" ht="13.5" customHeight="1" ns3:dyDescent="0.3"/>
    <row r="869" ht="13.5" customHeight="1" ns3:dyDescent="0.3"/>
    <row r="870" ht="13.5" customHeight="1" ns3:dyDescent="0.3"/>
    <row r="871" ht="13.5" customHeight="1" ns3:dyDescent="0.3"/>
    <row r="872" ht="13.5" customHeight="1" ns3:dyDescent="0.3"/>
    <row r="873" ht="13.5" customHeight="1" ns3:dyDescent="0.3"/>
    <row r="874" ht="13.5" customHeight="1" ns3:dyDescent="0.3"/>
    <row r="875" ht="13.5" customHeight="1" ns3:dyDescent="0.3"/>
    <row r="876" ht="13.5" customHeight="1" ns3:dyDescent="0.3"/>
    <row r="877" ht="13.5" customHeight="1" ns3:dyDescent="0.3"/>
    <row r="878" ht="13.5" customHeight="1" ns3:dyDescent="0.3"/>
    <row r="879" ht="13.5" customHeight="1" ns3:dyDescent="0.3"/>
    <row r="880" ht="13.5" customHeight="1" ns3:dyDescent="0.3"/>
    <row r="881" ht="13.5" customHeight="1" ns3:dyDescent="0.3"/>
    <row r="882" ht="13.5" customHeight="1" ns3:dyDescent="0.3"/>
    <row r="883" ht="13.5" customHeight="1" ns3:dyDescent="0.3"/>
    <row r="884" ht="13.5" customHeight="1" ns3:dyDescent="0.3"/>
    <row r="885" ht="13.5" customHeight="1" ns3:dyDescent="0.3"/>
    <row r="886" ht="13.5" customHeight="1" ns3:dyDescent="0.3"/>
    <row r="887" ht="13.5" customHeight="1" ns3:dyDescent="0.3"/>
    <row r="888" ht="13.5" customHeight="1" ns3:dyDescent="0.3"/>
    <row r="889" ht="13.5" customHeight="1" ns3:dyDescent="0.3"/>
    <row r="890" ht="13.5" customHeight="1" ns3:dyDescent="0.3"/>
    <row r="891" ht="13.5" customHeight="1" ns3:dyDescent="0.3"/>
    <row r="892" ht="13.5" customHeight="1" ns3:dyDescent="0.3"/>
    <row r="893" ht="13.5" customHeight="1" ns3:dyDescent="0.3"/>
    <row r="894" ht="13.5" customHeight="1" ns3:dyDescent="0.3"/>
    <row r="895" ht="13.5" customHeight="1" ns3:dyDescent="0.3"/>
    <row r="896" ht="13.5" customHeight="1" ns3:dyDescent="0.3"/>
    <row r="897" ht="13.5" customHeight="1" ns3:dyDescent="0.3"/>
    <row r="898" ht="13.5" customHeight="1" ns3:dyDescent="0.3"/>
    <row r="899" ht="13.5" customHeight="1" ns3:dyDescent="0.3"/>
    <row r="900" ht="13.5" customHeight="1" ns3:dyDescent="0.3"/>
    <row r="901" ht="13.5" customHeight="1" ns3:dyDescent="0.3"/>
    <row r="902" ht="13.5" customHeight="1" ns3:dyDescent="0.3"/>
    <row r="903" ht="13.5" customHeight="1" ns3:dyDescent="0.3"/>
    <row r="904" ht="13.5" customHeight="1" ns3:dyDescent="0.3"/>
    <row r="905" ht="13.5" customHeight="1" ns3:dyDescent="0.3"/>
    <row r="906" ht="13.5" customHeight="1" ns3:dyDescent="0.3"/>
    <row r="907" ht="13.5" customHeight="1" ns3:dyDescent="0.3"/>
    <row r="908" ht="13.5" customHeight="1" ns3:dyDescent="0.3"/>
    <row r="909" ht="13.5" customHeight="1" ns3:dyDescent="0.3"/>
    <row r="910" ht="13.5" customHeight="1" ns3:dyDescent="0.3"/>
    <row r="911" ht="13.5" customHeight="1" ns3:dyDescent="0.3"/>
    <row r="912" ht="13.5" customHeight="1" ns3:dyDescent="0.3"/>
    <row r="913" ht="13.5" customHeight="1" ns3:dyDescent="0.3"/>
    <row r="914" ht="13.5" customHeight="1" ns3:dyDescent="0.3"/>
    <row r="915" ht="13.5" customHeight="1" ns3:dyDescent="0.3"/>
    <row r="916" ht="13.5" customHeight="1" ns3:dyDescent="0.3"/>
    <row r="917" ht="13.5" customHeight="1" ns3:dyDescent="0.3"/>
    <row r="918" ht="13.5" customHeight="1" ns3:dyDescent="0.3"/>
    <row r="919" ht="13.5" customHeight="1" ns3:dyDescent="0.3"/>
    <row r="920" ht="13.5" customHeight="1" ns3:dyDescent="0.3"/>
    <row r="921" ht="13.5" customHeight="1" ns3:dyDescent="0.3"/>
    <row r="922" ht="13.5" customHeight="1" ns3:dyDescent="0.3"/>
    <row r="923" ht="13.5" customHeight="1" ns3:dyDescent="0.3"/>
    <row r="924" ht="13.5" customHeight="1" ns3:dyDescent="0.3"/>
    <row r="925" ht="13.5" customHeight="1" ns3:dyDescent="0.3"/>
    <row r="926" ht="13.5" customHeight="1" ns3:dyDescent="0.3"/>
    <row r="927" ht="13.5" customHeight="1" ns3:dyDescent="0.3"/>
    <row r="928" ht="13.5" customHeight="1" ns3:dyDescent="0.3"/>
    <row r="929" ht="13.5" customHeight="1" ns3:dyDescent="0.3"/>
    <row r="930" ht="13.5" customHeight="1" ns3:dyDescent="0.3"/>
    <row r="931" ht="13.5" customHeight="1" ns3:dyDescent="0.3"/>
    <row r="932" ht="13.5" customHeight="1" ns3:dyDescent="0.3"/>
    <row r="933" ht="13.5" customHeight="1" ns3:dyDescent="0.3"/>
    <row r="934" ht="13.5" customHeight="1" ns3:dyDescent="0.3"/>
    <row r="935" ht="13.5" customHeight="1" ns3:dyDescent="0.3"/>
    <row r="936" ht="13.5" customHeight="1" ns3:dyDescent="0.3"/>
    <row r="937" ht="13.5" customHeight="1" ns3:dyDescent="0.3"/>
    <row r="938" ht="13.5" customHeight="1" ns3:dyDescent="0.3"/>
    <row r="939" ht="13.5" customHeight="1" ns3:dyDescent="0.3"/>
    <row r="940" ht="13.5" customHeight="1" ns3:dyDescent="0.3"/>
    <row r="941" ht="13.5" customHeight="1" ns3:dyDescent="0.3"/>
    <row r="942" ht="13.5" customHeight="1" ns3:dyDescent="0.3"/>
    <row r="943" ht="13.5" customHeight="1" ns3:dyDescent="0.3"/>
    <row r="944" ht="13.5" customHeight="1" ns3:dyDescent="0.3"/>
    <row r="945" ht="13.5" customHeight="1" ns3:dyDescent="0.3"/>
    <row r="946" ht="13.5" customHeight="1" ns3:dyDescent="0.3"/>
    <row r="947" ht="13.5" customHeight="1" ns3:dyDescent="0.3"/>
    <row r="948" ht="13.5" customHeight="1" ns3:dyDescent="0.3"/>
    <row r="949" ht="13.5" customHeight="1" ns3:dyDescent="0.3"/>
    <row r="950" ht="13.5" customHeight="1" ns3:dyDescent="0.3"/>
    <row r="951" ht="13.5" customHeight="1" ns3:dyDescent="0.3"/>
    <row r="952" ht="13.5" customHeight="1" ns3:dyDescent="0.3"/>
    <row r="953" ht="13.5" customHeight="1" ns3:dyDescent="0.3"/>
    <row r="954" ht="13.5" customHeight="1" ns3:dyDescent="0.3"/>
    <row r="955" ht="13.5" customHeight="1" ns3:dyDescent="0.3"/>
    <row r="956" ht="13.5" customHeight="1" ns3:dyDescent="0.3"/>
    <row r="957" ht="13.5" customHeight="1" ns3:dyDescent="0.3"/>
    <row r="958" ht="13.5" customHeight="1" ns3:dyDescent="0.3"/>
    <row r="959" ht="13.5" customHeight="1" ns3:dyDescent="0.3"/>
    <row r="960" ht="13.5" customHeight="1" ns3:dyDescent="0.3"/>
    <row r="961" ht="13.5" customHeight="1" ns3:dyDescent="0.3"/>
    <row r="962" ht="13.5" customHeight="1" ns3:dyDescent="0.3"/>
    <row r="963" ht="13.5" customHeight="1" ns3:dyDescent="0.3"/>
    <row r="964" ht="13.5" customHeight="1" ns3:dyDescent="0.3"/>
    <row r="965" ht="13.5" customHeight="1" ns3:dyDescent="0.3"/>
    <row r="966" ht="13.5" customHeight="1" ns3:dyDescent="0.3"/>
    <row r="967" ht="13.5" customHeight="1" ns3:dyDescent="0.3"/>
    <row r="968" ht="13.5" customHeight="1" ns3:dyDescent="0.3"/>
    <row r="969" ht="13.5" customHeight="1" ns3:dyDescent="0.3"/>
    <row r="970" ht="13.5" customHeight="1" ns3:dyDescent="0.3"/>
    <row r="971" ht="13.5" customHeight="1" ns3:dyDescent="0.3"/>
    <row r="972" ht="13.5" customHeight="1" ns3:dyDescent="0.3"/>
    <row r="973" ht="13.5" customHeight="1" ns3:dyDescent="0.3"/>
    <row r="974" ht="13.5" customHeight="1" ns3:dyDescent="0.3"/>
    <row r="975" ht="13.5" customHeight="1" ns3:dyDescent="0.3"/>
    <row r="976" ht="13.5" customHeight="1" ns3:dyDescent="0.3"/>
    <row r="977" ht="13.5" customHeight="1" ns3:dyDescent="0.3"/>
    <row r="978" ht="13.5" customHeight="1" ns3:dyDescent="0.3"/>
    <row r="979" ht="13.5" customHeight="1" ns3:dyDescent="0.3"/>
    <row r="980" ht="13.5" customHeight="1" ns3:dyDescent="0.3"/>
    <row r="981" ht="13.5" customHeight="1" ns3:dyDescent="0.3"/>
    <row r="982" ht="13.5" customHeight="1" ns3:dyDescent="0.3"/>
    <row r="983" ht="13.5" customHeight="1" ns3:dyDescent="0.3"/>
    <row r="984" ht="13.5" customHeight="1" ns3:dyDescent="0.3"/>
    <row r="985" ht="13.5" customHeight="1" ns3:dyDescent="0.3"/>
    <row r="986" ht="13.5" customHeight="1" ns3:dyDescent="0.3"/>
    <row r="987" ht="13.5" customHeight="1" ns3:dyDescent="0.3"/>
    <row r="988" ht="13.5" customHeight="1" ns3:dyDescent="0.3"/>
    <row r="989" ht="13.5" customHeight="1" ns3:dyDescent="0.3"/>
    <row r="990" ht="13.5" customHeight="1" ns3:dyDescent="0.3"/>
    <row r="991" ht="13.5" customHeight="1" ns3:dyDescent="0.3"/>
    <row r="992" ht="13.5" customHeight="1" ns3:dyDescent="0.3"/>
    <row r="993" ht="13.5" customHeight="1" ns3:dyDescent="0.3"/>
    <row r="994" ht="13.5" customHeight="1" ns3:dyDescent="0.3"/>
    <row r="995" ht="13.5" customHeight="1" ns3:dyDescent="0.3"/>
    <row r="996" ht="13.5" customHeight="1" ns3:dyDescent="0.3"/>
    <row r="997" ht="13.5" customHeight="1" ns3:dyDescent="0.3"/>
    <row r="998" ht="13.5" customHeight="1" ns3:dyDescent="0.3"/>
    <row r="999" ht="13.5" customHeight="1" ns3:dyDescent="0.3"/>
    <row r="1000" ht="13.5" customHeight="1" ns3:dyDescent="0.3"/>
  </sheetData>
  <mergeCells count="81">
    <mergeCell ref="B8:Z8"/>
    <mergeCell ref="B10:Z10"/>
    <mergeCell ref="B11:D11"/>
    <mergeCell ref="E11:Z11"/>
    <mergeCell ref="B12:D12"/>
    <mergeCell ref="E12:Z12"/>
    <mergeCell ref="B13:D13"/>
    <mergeCell ref="E13:Z13"/>
    <mergeCell ref="B14:D14"/>
    <mergeCell ref="E14:Z14"/>
    <mergeCell ref="B15:D15"/>
    <mergeCell ref="E15:Z15"/>
    <mergeCell ref="B16:D16"/>
    <mergeCell ref="E16:Z16"/>
    <mergeCell ref="B17:D17"/>
    <mergeCell ref="E17:Z17"/>
    <mergeCell ref="B18:D18"/>
    <mergeCell ref="E18:Z18"/>
    <mergeCell ref="B19:D19"/>
    <mergeCell ref="E19:Z19"/>
    <mergeCell ref="B21:Z21"/>
    <mergeCell ref="B22:D22"/>
    <mergeCell ref="E22:Z22"/>
    <mergeCell ref="B23:D23"/>
    <mergeCell ref="E23:Z23"/>
    <mergeCell ref="B24:D24"/>
    <mergeCell ref="E24:Z24"/>
    <mergeCell ref="B25:D25"/>
    <mergeCell ref="E25:Z25"/>
    <mergeCell ref="B26:D26"/>
    <mergeCell ref="E26:Z26"/>
    <mergeCell ref="B27:D27"/>
    <mergeCell ref="E27:Z27"/>
    <mergeCell ref="B28:D28"/>
    <mergeCell ref="E28:Z28"/>
    <mergeCell ref="B29:D29"/>
    <mergeCell ref="E29:Z29"/>
    <mergeCell ref="B30:D30"/>
    <mergeCell ref="E30:Z30"/>
    <mergeCell ref="B31:D31"/>
    <mergeCell ref="E31:Z31"/>
    <mergeCell ref="B33:Z33"/>
    <mergeCell ref="B34:D34"/>
    <mergeCell ref="E34:Z34"/>
    <mergeCell ref="B35:D35"/>
    <mergeCell ref="E35:Z35"/>
    <mergeCell ref="B36:D36"/>
    <mergeCell ref="E36:Z36"/>
    <mergeCell ref="B37:D37"/>
    <mergeCell ref="E37:Z37"/>
    <mergeCell ref="B38:D38"/>
    <mergeCell ref="E38:Z38"/>
    <mergeCell ref="B39:D39"/>
    <mergeCell ref="E39:Z39"/>
    <mergeCell ref="B40:D40"/>
    <mergeCell ref="E40:Z40"/>
    <mergeCell ref="B41:D41"/>
    <mergeCell ref="E41:Z41"/>
    <mergeCell ref="B42:D42"/>
    <mergeCell ref="E42:Z42"/>
    <mergeCell ref="B43:D43"/>
    <mergeCell ref="E43:Z43"/>
    <mergeCell ref="B45:Z45"/>
    <mergeCell ref="B46:D46"/>
    <mergeCell ref="E46:Z46"/>
    <mergeCell ref="B47:D47"/>
    <mergeCell ref="E47:Z47"/>
    <mergeCell ref="B48:D48"/>
    <mergeCell ref="E48:Z48"/>
    <mergeCell ref="B49:D49"/>
    <mergeCell ref="E49:Z49"/>
    <mergeCell ref="B50:D50"/>
    <mergeCell ref="E50:Z50"/>
    <mergeCell ref="B51:D51"/>
    <mergeCell ref="E51:Z51"/>
    <mergeCell ref="B52:D52"/>
    <mergeCell ref="E52:Z52"/>
    <mergeCell ref="B53:D53"/>
    <mergeCell ref="E53:Z53"/>
    <mergeCell ref="B55:D55"/>
    <mergeCell ref="E55:Z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ADB"/>
  </sheetPr>
  <dimension ref="B1:AB1000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4.44140625" defaultRowHeight="13.8" x14ac:dyDescent="0.3"/>
  <cols>
    <col min="1" max="1" width="5.44140625" customWidth="1"/>
    <col min="2" max="3" width="11.44140625" customWidth="1"/>
    <col min="4" max="4" width="42" customWidth="1"/>
    <col min="5" max="5" width="25" customWidth="1"/>
    <col min="6" max="6" width="13.33203125" customWidth="1"/>
    <col min="7" max="7" width="12.5546875" customWidth="1"/>
    <col min="8" max="11" width="11.5546875" customWidth="1"/>
    <col min="12" max="26" width="5.44140625" customWidth="1"/>
  </cols>
  <sheetData>
    <row r="1" spans="2:26" ht="13.5" customHeight="1" x14ac:dyDescent="0.3">
      <c r="B1" s="7"/>
      <c r="C1" s="8"/>
    </row>
    <row r="2" spans="2:26" ht="13.5" customHeight="1" x14ac:dyDescent="0.3">
      <c r="B2" s="7"/>
      <c r="C2" s="8"/>
      <c r="H2" s="85" t="s">
        <v>226</v>
      </c>
    </row>
    <row r="3" spans="2:26" ht="13.5" customHeight="1" x14ac:dyDescent="0.3">
      <c r="B3" s="7"/>
      <c r="C3" s="8"/>
      <c r="H3" s="79"/>
      <c r="K3" s="89" t="s">
        <v>227</v>
      </c>
      <c r="L3" s="86" t="s">
        <v>228</v>
      </c>
      <c r="M3" s="79"/>
      <c r="N3" s="79"/>
      <c r="O3" s="79"/>
      <c r="P3" s="79"/>
      <c r="Q3" s="79"/>
      <c r="R3" s="79"/>
      <c r="S3" s="79"/>
      <c r="T3" s="79"/>
      <c r="U3" s="79"/>
    </row>
    <row r="4" spans="2:26" ht="12.75" customHeight="1" x14ac:dyDescent="0.3">
      <c r="B4" s="7"/>
      <c r="C4" s="8"/>
      <c r="E4" s="87" t="s">
        <v>229</v>
      </c>
      <c r="G4" s="90" t="s">
        <v>230</v>
      </c>
      <c r="H4" s="79"/>
      <c r="I4" s="89" t="s">
        <v>231</v>
      </c>
      <c r="J4" s="85" t="s">
        <v>232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2:26" ht="18" customHeight="1" x14ac:dyDescent="0.3">
      <c r="B5" s="88" t="s">
        <v>233</v>
      </c>
      <c r="C5" s="79"/>
      <c r="E5" s="79"/>
      <c r="F5" s="87" t="s">
        <v>234</v>
      </c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</row>
    <row r="6" spans="2:26" ht="13.5" customHeight="1" x14ac:dyDescent="0.3">
      <c r="B6" s="9"/>
      <c r="C6" s="8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</row>
    <row r="7" spans="2:26" ht="34.5" customHeight="1" x14ac:dyDescent="0.3">
      <c r="B7" s="69" t="s">
        <v>235</v>
      </c>
      <c r="C7" s="69" t="s">
        <v>236</v>
      </c>
      <c r="D7" s="69" t="s">
        <v>44</v>
      </c>
      <c r="E7" s="69" t="s">
        <v>65</v>
      </c>
      <c r="F7" s="69" t="s">
        <v>20</v>
      </c>
      <c r="G7" s="69" t="s">
        <v>237</v>
      </c>
      <c r="H7" s="69" t="s">
        <v>238</v>
      </c>
      <c r="I7" s="69" t="s">
        <v>239</v>
      </c>
      <c r="J7" s="69" t="s">
        <v>240</v>
      </c>
      <c r="K7" s="69" t="s">
        <v>241</v>
      </c>
      <c r="L7" s="69" t="s">
        <v>242</v>
      </c>
      <c r="M7" s="69" t="s">
        <v>243</v>
      </c>
      <c r="N7" s="69" t="s">
        <v>244</v>
      </c>
      <c r="O7" s="69" t="s">
        <v>245</v>
      </c>
      <c r="P7" s="69" t="s">
        <v>246</v>
      </c>
      <c r="Q7" s="69" t="s">
        <v>247</v>
      </c>
      <c r="R7" s="69" t="s">
        <v>248</v>
      </c>
      <c r="S7" s="69" t="s">
        <v>249</v>
      </c>
      <c r="T7" s="69" t="s">
        <v>250</v>
      </c>
      <c r="U7" s="69" t="s">
        <v>251</v>
      </c>
      <c r="V7" s="69" t="s">
        <v>252</v>
      </c>
      <c r="W7" s="69" t="s">
        <v>253</v>
      </c>
      <c r="X7" s="69" t="s">
        <v>254</v>
      </c>
      <c r="Y7" s="69" t="s">
        <v>255</v>
      </c>
      <c r="Z7" s="69" t="s">
        <v>256</v>
      </c>
    </row>
    <row r="8" spans="2:26" ht="13.5" customHeight="1" x14ac:dyDescent="0.3">
      <c r="B8" s="25" t="s">
        <v>320</v>
      </c>
      <c r="C8" s="25" t="s">
        <v>127</v>
      </c>
      <c r="D8" s="25" t="s">
        <v>321</v>
      </c>
      <c r="E8" s="25" t="s">
        <v>10</v>
      </c>
      <c r="F8" s="25" t="s">
        <v>259</v>
      </c>
      <c r="G8" s="70">
        <v>14</v>
      </c>
      <c r="H8" s="71">
        <f t="shared" ref="H8:H20" si="0">SUM(L8:Z8)</f>
        <v>0</v>
      </c>
      <c r="I8" s="71">
        <f t="shared" ref="I8:I20" si="1">G8-H8</f>
        <v>14</v>
      </c>
      <c r="J8" s="71">
        <v>0</v>
      </c>
      <c r="K8" s="71" t="str">
        <f t="shared" ref="K8:K20" si="2">IF(F8="Done",J8-G8,"")</f>
        <v/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2:26" ht="13.5" customHeight="1" x14ac:dyDescent="0.3">
      <c r="B9" s="25" t="s">
        <v>322</v>
      </c>
      <c r="C9" s="25" t="s">
        <v>127</v>
      </c>
      <c r="D9" s="25" t="s">
        <v>323</v>
      </c>
      <c r="E9" s="25" t="s">
        <v>10</v>
      </c>
      <c r="F9" s="25" t="s">
        <v>259</v>
      </c>
      <c r="G9" s="70">
        <v>10</v>
      </c>
      <c r="H9" s="71">
        <f t="shared" si="0"/>
        <v>0</v>
      </c>
      <c r="I9" s="71">
        <f t="shared" si="1"/>
        <v>10</v>
      </c>
      <c r="J9" s="71">
        <v>0</v>
      </c>
      <c r="K9" s="71" t="str">
        <f t="shared" si="2"/>
        <v/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2:26" ht="13.5" customHeight="1" x14ac:dyDescent="0.3">
      <c r="B10" s="25" t="s">
        <v>324</v>
      </c>
      <c r="C10" s="25" t="s">
        <v>134</v>
      </c>
      <c r="D10" s="25" t="s">
        <v>325</v>
      </c>
      <c r="E10" s="25" t="s">
        <v>8</v>
      </c>
      <c r="F10" s="72" t="s">
        <v>259</v>
      </c>
      <c r="G10" s="70">
        <v>12</v>
      </c>
      <c r="H10" s="71">
        <f t="shared" si="0"/>
        <v>0</v>
      </c>
      <c r="I10" s="71">
        <f t="shared" si="1"/>
        <v>12</v>
      </c>
      <c r="J10" s="71">
        <v>0</v>
      </c>
      <c r="K10" s="71" t="str">
        <f t="shared" si="2"/>
        <v/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2:26" ht="13.5" customHeight="1" x14ac:dyDescent="0.3">
      <c r="B11" s="25" t="s">
        <v>326</v>
      </c>
      <c r="C11" s="25" t="s">
        <v>203</v>
      </c>
      <c r="D11" s="25" t="s">
        <v>327</v>
      </c>
      <c r="E11" s="25" t="s">
        <v>8</v>
      </c>
      <c r="F11" s="25" t="s">
        <v>259</v>
      </c>
      <c r="G11" s="70">
        <v>16</v>
      </c>
      <c r="H11" s="71">
        <f t="shared" si="0"/>
        <v>0</v>
      </c>
      <c r="I11" s="71">
        <f t="shared" si="1"/>
        <v>16</v>
      </c>
      <c r="J11" s="71">
        <v>0</v>
      </c>
      <c r="K11" s="71" t="str">
        <f t="shared" si="2"/>
        <v/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2:26" ht="13.5" customHeight="1" x14ac:dyDescent="0.3">
      <c r="B12" s="25" t="s">
        <v>328</v>
      </c>
      <c r="C12" s="25" t="s">
        <v>203</v>
      </c>
      <c r="D12" s="25" t="s">
        <v>329</v>
      </c>
      <c r="E12" s="25" t="s">
        <v>8</v>
      </c>
      <c r="F12" s="25" t="s">
        <v>259</v>
      </c>
      <c r="G12" s="70">
        <v>12</v>
      </c>
      <c r="H12" s="71">
        <f t="shared" si="0"/>
        <v>0</v>
      </c>
      <c r="I12" s="71">
        <f t="shared" si="1"/>
        <v>12</v>
      </c>
      <c r="J12" s="71">
        <v>0</v>
      </c>
      <c r="K12" s="71" t="str">
        <f t="shared" si="2"/>
        <v/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2:26" ht="13.5" customHeight="1" x14ac:dyDescent="0.3">
      <c r="B13" s="25" t="s">
        <v>330</v>
      </c>
      <c r="C13" s="25" t="s">
        <v>209</v>
      </c>
      <c r="D13" s="25" t="s">
        <v>331</v>
      </c>
      <c r="E13" s="25" t="s">
        <v>10</v>
      </c>
      <c r="F13" s="25" t="s">
        <v>259</v>
      </c>
      <c r="G13" s="70">
        <v>14</v>
      </c>
      <c r="H13" s="71">
        <f t="shared" si="0"/>
        <v>0</v>
      </c>
      <c r="I13" s="71">
        <f t="shared" si="1"/>
        <v>14</v>
      </c>
      <c r="J13" s="71">
        <v>0</v>
      </c>
      <c r="K13" s="71" t="str">
        <f t="shared" si="2"/>
        <v/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2:26" ht="13.5" customHeight="1" x14ac:dyDescent="0.3">
      <c r="B14" s="25" t="s">
        <v>332</v>
      </c>
      <c r="C14" s="25" t="s">
        <v>140</v>
      </c>
      <c r="D14" s="25" t="s">
        <v>333</v>
      </c>
      <c r="E14" s="72" t="s">
        <v>10</v>
      </c>
      <c r="F14" s="72" t="s">
        <v>259</v>
      </c>
      <c r="G14" s="70">
        <v>10</v>
      </c>
      <c r="H14" s="71">
        <f t="shared" si="0"/>
        <v>0</v>
      </c>
      <c r="I14" s="71">
        <f t="shared" si="1"/>
        <v>10</v>
      </c>
      <c r="J14" s="71">
        <v>0</v>
      </c>
      <c r="K14" s="71" t="str">
        <f t="shared" si="2"/>
        <v/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2:26" ht="13.5" customHeight="1" x14ac:dyDescent="0.3">
      <c r="B15" s="25" t="s">
        <v>334</v>
      </c>
      <c r="C15" s="25" t="s">
        <v>140</v>
      </c>
      <c r="D15" s="25" t="s">
        <v>335</v>
      </c>
      <c r="E15" s="25" t="s">
        <v>10</v>
      </c>
      <c r="F15" s="25" t="s">
        <v>259</v>
      </c>
      <c r="G15" s="70">
        <v>10</v>
      </c>
      <c r="H15" s="71">
        <f t="shared" si="0"/>
        <v>0</v>
      </c>
      <c r="I15" s="71">
        <f t="shared" si="1"/>
        <v>10</v>
      </c>
      <c r="J15" s="71">
        <v>0</v>
      </c>
      <c r="K15" s="71" t="str">
        <f t="shared" si="2"/>
        <v/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2:26" ht="13.5" customHeight="1" x14ac:dyDescent="0.3">
      <c r="B16" s="25" t="s">
        <v>336</v>
      </c>
      <c r="C16" s="25" t="s">
        <v>147</v>
      </c>
      <c r="D16" s="25" t="s">
        <v>337</v>
      </c>
      <c r="E16" s="25" t="s">
        <v>10</v>
      </c>
      <c r="F16" s="25" t="s">
        <v>259</v>
      </c>
      <c r="G16" s="70">
        <v>14</v>
      </c>
      <c r="H16" s="71">
        <f t="shared" si="0"/>
        <v>0</v>
      </c>
      <c r="I16" s="71">
        <f t="shared" si="1"/>
        <v>14</v>
      </c>
      <c r="J16" s="71">
        <v>0</v>
      </c>
      <c r="K16" s="71" t="str">
        <f t="shared" si="2"/>
        <v/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2:26" ht="13.5" customHeight="1" x14ac:dyDescent="0.3">
      <c r="B17" s="73" t="s">
        <v>338</v>
      </c>
      <c r="C17" s="25" t="s">
        <v>154</v>
      </c>
      <c r="D17" s="25" t="s">
        <v>339</v>
      </c>
      <c r="E17" s="25" t="s">
        <v>10</v>
      </c>
      <c r="F17" s="25" t="s">
        <v>259</v>
      </c>
      <c r="G17" s="70">
        <v>12</v>
      </c>
      <c r="H17" s="71">
        <f t="shared" si="0"/>
        <v>0</v>
      </c>
      <c r="I17" s="71">
        <f t="shared" si="1"/>
        <v>12</v>
      </c>
      <c r="J17" s="71">
        <v>0</v>
      </c>
      <c r="K17" s="71" t="str">
        <f t="shared" si="2"/>
        <v/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2:26" ht="13.5" customHeight="1" x14ac:dyDescent="0.3">
      <c r="B18" s="25" t="s">
        <v>340</v>
      </c>
      <c r="C18" s="25" t="s">
        <v>167</v>
      </c>
      <c r="D18" s="25" t="s">
        <v>341</v>
      </c>
      <c r="E18" s="25" t="s">
        <v>13</v>
      </c>
      <c r="F18" s="25" t="s">
        <v>259</v>
      </c>
      <c r="G18" s="70">
        <v>14</v>
      </c>
      <c r="H18" s="71">
        <f t="shared" si="0"/>
        <v>0</v>
      </c>
      <c r="I18" s="71">
        <f t="shared" si="1"/>
        <v>14</v>
      </c>
      <c r="J18" s="71">
        <v>0</v>
      </c>
      <c r="K18" s="71" t="str">
        <f t="shared" si="2"/>
        <v/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2:26" ht="13.5" customHeight="1" x14ac:dyDescent="0.3">
      <c r="B19" s="25" t="s">
        <v>342</v>
      </c>
      <c r="C19" s="25" t="s">
        <v>215</v>
      </c>
      <c r="D19" s="25" t="s">
        <v>343</v>
      </c>
      <c r="E19" s="25" t="s">
        <v>13</v>
      </c>
      <c r="F19" s="25" t="s">
        <v>259</v>
      </c>
      <c r="G19" s="70">
        <v>12</v>
      </c>
      <c r="H19" s="71">
        <f t="shared" si="0"/>
        <v>0</v>
      </c>
      <c r="I19" s="71">
        <f t="shared" si="1"/>
        <v>12</v>
      </c>
      <c r="J19" s="71">
        <v>0</v>
      </c>
      <c r="K19" s="71" t="str">
        <f t="shared" si="2"/>
        <v/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2:26" ht="13.5" customHeight="1" x14ac:dyDescent="0.3">
      <c r="B20" s="73" t="s">
        <v>344</v>
      </c>
      <c r="C20" s="25" t="s">
        <v>89</v>
      </c>
      <c r="D20" s="25" t="s">
        <v>345</v>
      </c>
      <c r="E20" s="25" t="s">
        <v>3</v>
      </c>
      <c r="F20" s="25" t="s">
        <v>259</v>
      </c>
      <c r="G20" s="70">
        <v>8</v>
      </c>
      <c r="H20" s="71">
        <f t="shared" si="0"/>
        <v>0</v>
      </c>
      <c r="I20" s="71">
        <f t="shared" si="1"/>
        <v>8</v>
      </c>
      <c r="J20" s="71">
        <v>0</v>
      </c>
      <c r="K20" s="71" t="str">
        <f t="shared" si="2"/>
        <v/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2:26" ht="13.5" customHeight="1" x14ac:dyDescent="0.3">
      <c r="B21" s="11"/>
      <c r="C21" s="5"/>
      <c r="D21" s="36"/>
      <c r="E21" s="4"/>
      <c r="F21" s="4"/>
      <c r="G21" s="51"/>
      <c r="H21" s="52"/>
      <c r="I21" s="52"/>
      <c r="J21" s="52"/>
      <c r="K21" s="52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2:26" ht="13.5" customHeight="1" x14ac:dyDescent="0.3">
      <c r="B22" s="11"/>
      <c r="C22" s="5"/>
      <c r="D22" s="36"/>
      <c r="E22" s="4"/>
      <c r="F22" s="4"/>
      <c r="G22" s="51"/>
      <c r="H22" s="52"/>
      <c r="I22" s="52"/>
      <c r="J22" s="52"/>
      <c r="K22" s="52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2:26" ht="13.5" customHeight="1" x14ac:dyDescent="0.3">
      <c r="B23" s="48"/>
      <c r="C23" s="5"/>
      <c r="D23" s="36"/>
      <c r="E23" s="4"/>
      <c r="F23" s="4"/>
      <c r="G23" s="51"/>
      <c r="H23" s="52"/>
      <c r="I23" s="52"/>
      <c r="J23" s="52"/>
      <c r="K23" s="52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2:26" ht="13.5" customHeight="1" x14ac:dyDescent="0.3">
      <c r="B24" s="11"/>
      <c r="C24" s="5"/>
      <c r="D24" s="36"/>
      <c r="E24" s="4"/>
      <c r="F24" s="4"/>
      <c r="G24" s="51"/>
      <c r="H24" s="52"/>
      <c r="I24" s="52"/>
      <c r="J24" s="52"/>
      <c r="K24" s="52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2:26" ht="13.5" customHeight="1" x14ac:dyDescent="0.3">
      <c r="B25" s="11"/>
      <c r="C25" s="5"/>
      <c r="D25" s="36"/>
      <c r="E25" s="4"/>
      <c r="F25" s="4"/>
      <c r="G25" s="51"/>
      <c r="H25" s="52"/>
      <c r="I25" s="52"/>
      <c r="J25" s="52"/>
      <c r="K25" s="52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2:26" ht="13.5" customHeight="1" x14ac:dyDescent="0.3">
      <c r="B26" s="48"/>
      <c r="C26" s="5"/>
      <c r="D26" s="36"/>
      <c r="E26" s="4"/>
      <c r="F26" s="4"/>
      <c r="G26" s="51"/>
      <c r="H26" s="52"/>
      <c r="I26" s="52"/>
      <c r="J26" s="52"/>
      <c r="K26" s="52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2:26" ht="13.5" customHeight="1" x14ac:dyDescent="0.3">
      <c r="B27" s="48"/>
      <c r="C27" s="5"/>
      <c r="D27" s="36"/>
      <c r="E27" s="4"/>
      <c r="F27" s="4"/>
      <c r="G27" s="51"/>
      <c r="H27" s="52"/>
      <c r="I27" s="52"/>
      <c r="J27" s="52"/>
      <c r="K27" s="52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2:26" ht="13.5" customHeight="1" x14ac:dyDescent="0.3">
      <c r="B28" s="11"/>
      <c r="C28" s="5"/>
      <c r="D28" s="36"/>
      <c r="E28" s="4"/>
      <c r="F28" s="4"/>
      <c r="G28" s="51"/>
      <c r="H28" s="52"/>
      <c r="I28" s="52"/>
      <c r="J28" s="52"/>
      <c r="K28" s="52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2:26" ht="13.5" customHeight="1" x14ac:dyDescent="0.3">
      <c r="B29" s="11"/>
      <c r="C29" s="5"/>
      <c r="D29" s="36"/>
      <c r="E29" s="4"/>
      <c r="F29" s="4"/>
      <c r="G29" s="51"/>
      <c r="H29" s="52"/>
      <c r="I29" s="52"/>
      <c r="J29" s="52"/>
      <c r="K29" s="52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2:26" ht="13.5" customHeight="1" x14ac:dyDescent="0.3">
      <c r="B30" s="11"/>
      <c r="C30" s="5"/>
      <c r="D30" s="36"/>
      <c r="E30" s="4"/>
      <c r="F30" s="4"/>
      <c r="G30" s="51"/>
      <c r="H30" s="52"/>
      <c r="I30" s="52"/>
      <c r="J30" s="52"/>
      <c r="K30" s="5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2:26" ht="13.5" customHeight="1" x14ac:dyDescent="0.3">
      <c r="B31" s="11"/>
      <c r="C31" s="5"/>
      <c r="D31" s="36"/>
      <c r="E31" s="4"/>
      <c r="F31" s="4"/>
      <c r="G31" s="51"/>
      <c r="H31" s="52"/>
      <c r="I31" s="52"/>
      <c r="J31" s="52"/>
      <c r="K31" s="5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2:26" ht="13.5" customHeight="1" x14ac:dyDescent="0.3">
      <c r="B32" s="11"/>
      <c r="C32" s="5"/>
      <c r="D32" s="36"/>
      <c r="E32" s="4"/>
      <c r="F32" s="4"/>
      <c r="G32" s="51"/>
      <c r="H32" s="52"/>
      <c r="I32" s="52"/>
      <c r="J32" s="52"/>
      <c r="K32" s="5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2:28" ht="13.5" customHeight="1" x14ac:dyDescent="0.3">
      <c r="B33" s="11"/>
      <c r="C33" s="5"/>
      <c r="D33" s="36"/>
      <c r="E33" s="4"/>
      <c r="F33" s="4"/>
      <c r="G33" s="51"/>
      <c r="H33" s="52"/>
      <c r="I33" s="52"/>
      <c r="J33" s="52"/>
      <c r="K33" s="52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2:28" ht="13.5" customHeight="1" x14ac:dyDescent="0.3">
      <c r="B34" s="11"/>
      <c r="C34" s="5"/>
      <c r="D34" s="36"/>
      <c r="E34" s="4"/>
      <c r="F34" s="4"/>
      <c r="G34" s="51"/>
      <c r="H34" s="52"/>
      <c r="I34" s="52"/>
      <c r="J34" s="52"/>
      <c r="K34" s="52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2:28" ht="13.5" customHeight="1" x14ac:dyDescent="0.3">
      <c r="B35" s="11"/>
      <c r="C35" s="5"/>
      <c r="D35" s="36"/>
      <c r="E35" s="4"/>
      <c r="F35" s="4"/>
      <c r="G35" s="51"/>
      <c r="H35" s="52"/>
      <c r="I35" s="52"/>
      <c r="J35" s="52"/>
      <c r="K35" s="52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2:28" ht="13.5" customHeight="1" x14ac:dyDescent="0.3">
      <c r="B36" s="11"/>
      <c r="C36" s="5"/>
      <c r="D36" s="36"/>
      <c r="E36" s="4"/>
      <c r="F36" s="4"/>
      <c r="G36" s="51"/>
      <c r="H36" s="52"/>
      <c r="I36" s="52"/>
      <c r="J36" s="52"/>
      <c r="K36" s="52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2:28" ht="13.5" customHeight="1" x14ac:dyDescent="0.3">
      <c r="B37" s="12"/>
      <c r="C37" s="13"/>
      <c r="D37" s="14"/>
      <c r="E37" s="14"/>
      <c r="F37" s="15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2:28" ht="13.5" customHeight="1" x14ac:dyDescent="0.3">
      <c r="B38" s="16"/>
      <c r="C38" s="17"/>
      <c r="D38" s="18"/>
      <c r="E38" s="18"/>
      <c r="F38" s="74" t="s">
        <v>282</v>
      </c>
      <c r="G38" s="75">
        <f t="shared" ref="G38:Z38" si="3">SUM(G8:G20)</f>
        <v>158</v>
      </c>
      <c r="H38" s="75">
        <f t="shared" si="3"/>
        <v>0</v>
      </c>
      <c r="I38" s="75">
        <f t="shared" si="3"/>
        <v>158</v>
      </c>
      <c r="J38" s="75">
        <f t="shared" si="3"/>
        <v>0</v>
      </c>
      <c r="K38" s="75">
        <f t="shared" si="3"/>
        <v>0</v>
      </c>
      <c r="L38" s="75">
        <f t="shared" si="3"/>
        <v>0</v>
      </c>
      <c r="M38" s="75">
        <f t="shared" si="3"/>
        <v>0</v>
      </c>
      <c r="N38" s="75">
        <f t="shared" si="3"/>
        <v>0</v>
      </c>
      <c r="O38" s="75">
        <f t="shared" si="3"/>
        <v>0</v>
      </c>
      <c r="P38" s="75">
        <f t="shared" si="3"/>
        <v>0</v>
      </c>
      <c r="Q38" s="75">
        <f t="shared" si="3"/>
        <v>0</v>
      </c>
      <c r="R38" s="75">
        <f t="shared" si="3"/>
        <v>0</v>
      </c>
      <c r="S38" s="75">
        <f t="shared" si="3"/>
        <v>0</v>
      </c>
      <c r="T38" s="75">
        <f t="shared" si="3"/>
        <v>0</v>
      </c>
      <c r="U38" s="75">
        <f t="shared" si="3"/>
        <v>0</v>
      </c>
      <c r="V38" s="75">
        <f t="shared" si="3"/>
        <v>0</v>
      </c>
      <c r="W38" s="75">
        <f t="shared" si="3"/>
        <v>0</v>
      </c>
      <c r="X38" s="75">
        <f t="shared" si="3"/>
        <v>0</v>
      </c>
      <c r="Y38" s="75">
        <f t="shared" si="3"/>
        <v>0</v>
      </c>
      <c r="Z38" s="75">
        <f t="shared" si="3"/>
        <v>0</v>
      </c>
    </row>
    <row r="39" spans="2:28" ht="13.5" customHeight="1" x14ac:dyDescent="0.3">
      <c r="B39" s="16"/>
      <c r="C39" s="17"/>
      <c r="D39" s="18"/>
      <c r="E39" s="18"/>
      <c r="F39" s="74" t="s">
        <v>283</v>
      </c>
      <c r="G39" s="53"/>
      <c r="H39" s="53"/>
      <c r="I39" s="53"/>
      <c r="J39" s="53"/>
      <c r="K39" s="53"/>
      <c r="L39" s="75">
        <f>G38-L38</f>
        <v>158</v>
      </c>
      <c r="M39" s="75">
        <f t="shared" ref="M39:Z39" si="4">L39-M38</f>
        <v>158</v>
      </c>
      <c r="N39" s="75">
        <f t="shared" si="4"/>
        <v>158</v>
      </c>
      <c r="O39" s="75">
        <f t="shared" si="4"/>
        <v>158</v>
      </c>
      <c r="P39" s="75">
        <f t="shared" si="4"/>
        <v>158</v>
      </c>
      <c r="Q39" s="75">
        <f t="shared" si="4"/>
        <v>158</v>
      </c>
      <c r="R39" s="75">
        <f t="shared" si="4"/>
        <v>158</v>
      </c>
      <c r="S39" s="75">
        <f t="shared" si="4"/>
        <v>158</v>
      </c>
      <c r="T39" s="75">
        <f t="shared" si="4"/>
        <v>158</v>
      </c>
      <c r="U39" s="75">
        <f t="shared" si="4"/>
        <v>158</v>
      </c>
      <c r="V39" s="75">
        <f t="shared" si="4"/>
        <v>158</v>
      </c>
      <c r="W39" s="75">
        <f t="shared" si="4"/>
        <v>158</v>
      </c>
      <c r="X39" s="75">
        <f t="shared" si="4"/>
        <v>158</v>
      </c>
      <c r="Y39" s="75">
        <f t="shared" si="4"/>
        <v>158</v>
      </c>
      <c r="Z39" s="75">
        <f t="shared" si="4"/>
        <v>158</v>
      </c>
    </row>
    <row r="40" spans="2:28" ht="13.5" customHeight="1" x14ac:dyDescent="0.3">
      <c r="B40" s="16"/>
      <c r="C40" s="17"/>
      <c r="D40" s="18"/>
      <c r="E40" s="18"/>
      <c r="F40" s="74" t="s">
        <v>284</v>
      </c>
      <c r="G40" s="53"/>
      <c r="H40" s="53"/>
      <c r="I40" s="53"/>
      <c r="J40" s="53"/>
      <c r="K40" s="53"/>
      <c r="L40" s="75">
        <f>L38</f>
        <v>0</v>
      </c>
      <c r="M40" s="75">
        <f t="shared" ref="M40:Z40" si="5">L40+M38</f>
        <v>0</v>
      </c>
      <c r="N40" s="75">
        <f t="shared" si="5"/>
        <v>0</v>
      </c>
      <c r="O40" s="75">
        <f t="shared" si="5"/>
        <v>0</v>
      </c>
      <c r="P40" s="75">
        <f t="shared" si="5"/>
        <v>0</v>
      </c>
      <c r="Q40" s="75">
        <f t="shared" si="5"/>
        <v>0</v>
      </c>
      <c r="R40" s="75">
        <f t="shared" si="5"/>
        <v>0</v>
      </c>
      <c r="S40" s="75">
        <f t="shared" si="5"/>
        <v>0</v>
      </c>
      <c r="T40" s="75">
        <f t="shared" si="5"/>
        <v>0</v>
      </c>
      <c r="U40" s="75">
        <f t="shared" si="5"/>
        <v>0</v>
      </c>
      <c r="V40" s="75">
        <f t="shared" si="5"/>
        <v>0</v>
      </c>
      <c r="W40" s="75">
        <f t="shared" si="5"/>
        <v>0</v>
      </c>
      <c r="X40" s="75">
        <f t="shared" si="5"/>
        <v>0</v>
      </c>
      <c r="Y40" s="75">
        <f t="shared" si="5"/>
        <v>0</v>
      </c>
      <c r="Z40" s="75">
        <f t="shared" si="5"/>
        <v>0</v>
      </c>
    </row>
    <row r="41" spans="2:28" ht="13.5" customHeight="1" x14ac:dyDescent="0.3">
      <c r="B41" s="16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2:28" ht="13.5" customHeight="1" x14ac:dyDescent="0.3">
      <c r="B42" s="7"/>
      <c r="C42" s="8"/>
    </row>
    <row r="43" spans="2:28" ht="13.5" customHeight="1" x14ac:dyDescent="0.3">
      <c r="B43" s="7"/>
      <c r="C43" s="8"/>
    </row>
    <row r="44" spans="2:28" ht="13.05" customHeight="1" x14ac:dyDescent="0.3">
      <c r="B44" s="45"/>
      <c r="C44" s="46"/>
      <c r="J44" s="82" t="s">
        <v>285</v>
      </c>
      <c r="K44" s="83"/>
      <c r="L44" s="76">
        <v>1</v>
      </c>
      <c r="M44" s="76">
        <v>2</v>
      </c>
      <c r="N44" s="76">
        <v>3</v>
      </c>
      <c r="O44" s="76">
        <v>4</v>
      </c>
      <c r="P44" s="76">
        <v>5</v>
      </c>
      <c r="Q44" s="76">
        <v>6</v>
      </c>
      <c r="R44" s="76">
        <v>7</v>
      </c>
      <c r="S44" s="76">
        <v>8</v>
      </c>
      <c r="T44" s="76">
        <v>9</v>
      </c>
      <c r="U44" s="76">
        <v>10</v>
      </c>
      <c r="V44" s="76">
        <v>11</v>
      </c>
      <c r="W44" s="76">
        <v>12</v>
      </c>
      <c r="X44" s="76">
        <v>13</v>
      </c>
      <c r="Y44" s="76">
        <v>14</v>
      </c>
      <c r="Z44" s="76">
        <v>15</v>
      </c>
      <c r="AA44" s="84" t="s">
        <v>286</v>
      </c>
      <c r="AB44" s="79"/>
    </row>
    <row r="45" spans="2:28" ht="13.05" customHeight="1" x14ac:dyDescent="0.3">
      <c r="B45" s="45"/>
      <c r="C45" s="46"/>
      <c r="J45" s="82" t="s">
        <v>3</v>
      </c>
      <c r="K45" s="83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54">
        <f>SUM(L45:Z45)</f>
        <v>0</v>
      </c>
    </row>
    <row r="46" spans="2:28" ht="13.05" customHeight="1" x14ac:dyDescent="0.3">
      <c r="B46" s="45"/>
      <c r="C46" s="46"/>
      <c r="J46" s="82" t="s">
        <v>7</v>
      </c>
      <c r="K46" s="83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54">
        <f>SUM(L46:Z46)</f>
        <v>0</v>
      </c>
    </row>
    <row r="47" spans="2:28" ht="13.05" customHeight="1" x14ac:dyDescent="0.3">
      <c r="B47" s="45"/>
      <c r="C47" s="46"/>
      <c r="J47" s="82" t="s">
        <v>8</v>
      </c>
      <c r="K47" s="83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54">
        <f>SUM(L47:Z47)</f>
        <v>0</v>
      </c>
    </row>
    <row r="48" spans="2:28" ht="13.05" customHeight="1" x14ac:dyDescent="0.3">
      <c r="B48" s="45"/>
      <c r="C48" s="46"/>
      <c r="J48" s="82" t="s">
        <v>10</v>
      </c>
      <c r="K48" s="83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54">
        <f>SUM(L48:Z48)</f>
        <v>0</v>
      </c>
    </row>
    <row r="49" spans="2:27" ht="13.05" customHeight="1" x14ac:dyDescent="0.3">
      <c r="B49" s="45"/>
      <c r="C49" s="46"/>
      <c r="J49" s="82" t="s">
        <v>13</v>
      </c>
      <c r="K49" s="83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54">
        <f>SUM(L49:Z49)</f>
        <v>0</v>
      </c>
    </row>
    <row r="50" spans="2:27" ht="13.05" customHeight="1" x14ac:dyDescent="0.3">
      <c r="B50" s="45"/>
      <c r="C50" s="46"/>
      <c r="AA50" s="77">
        <f>SUM(AA45:AA49)</f>
        <v>0</v>
      </c>
    </row>
    <row r="51" spans="2:27" ht="13.05" customHeight="1" x14ac:dyDescent="0.3">
      <c r="B51" s="45"/>
      <c r="C51" s="46"/>
      <c r="J51" s="54" t="s">
        <v>287</v>
      </c>
    </row>
    <row r="52" spans="2:27" ht="13.05" customHeight="1" x14ac:dyDescent="0.3">
      <c r="B52" s="45"/>
      <c r="C52" s="46"/>
    </row>
    <row r="53" spans="2:27" ht="13.5" customHeight="1" x14ac:dyDescent="0.3">
      <c r="B53" s="7"/>
      <c r="C53" s="8"/>
    </row>
    <row r="54" spans="2:27" ht="13.5" customHeight="1" x14ac:dyDescent="0.3">
      <c r="B54" s="7"/>
      <c r="C54" s="8"/>
    </row>
    <row r="55" spans="2:27" ht="13.5" customHeight="1" x14ac:dyDescent="0.3">
      <c r="B55" s="7"/>
      <c r="C55" s="8"/>
    </row>
    <row r="56" spans="2:27" ht="13.5" customHeight="1" x14ac:dyDescent="0.3">
      <c r="B56" s="7"/>
      <c r="C56" s="8"/>
    </row>
    <row r="57" spans="2:27" ht="13.5" customHeight="1" x14ac:dyDescent="0.3">
      <c r="B57" s="7"/>
      <c r="C57" s="8"/>
    </row>
    <row r="58" spans="2:27" ht="13.5" customHeight="1" x14ac:dyDescent="0.3">
      <c r="B58" s="7"/>
      <c r="C58" s="8"/>
    </row>
    <row r="59" spans="2:27" ht="13.5" customHeight="1" x14ac:dyDescent="0.3">
      <c r="B59" s="7"/>
      <c r="C59" s="8"/>
    </row>
    <row r="60" spans="2:27" ht="13.5" customHeight="1" x14ac:dyDescent="0.3">
      <c r="B60" s="7"/>
      <c r="C60" s="8"/>
    </row>
    <row r="61" spans="2:27" ht="13.5" customHeight="1" x14ac:dyDescent="0.3">
      <c r="B61" s="7"/>
      <c r="C61" s="8"/>
    </row>
    <row r="62" spans="2:27" ht="13.5" customHeight="1" x14ac:dyDescent="0.3">
      <c r="B62" s="7"/>
      <c r="C62" s="8"/>
    </row>
    <row r="63" spans="2:27" ht="13.5" customHeight="1" x14ac:dyDescent="0.3">
      <c r="B63" s="7"/>
      <c r="C63" s="8"/>
    </row>
    <row r="64" spans="2:27" ht="13.5" customHeight="1" x14ac:dyDescent="0.3">
      <c r="B64" s="7"/>
      <c r="C64" s="8"/>
    </row>
    <row r="65" spans="2:3" ht="13.5" customHeight="1" x14ac:dyDescent="0.3">
      <c r="B65" s="7"/>
      <c r="C65" s="8"/>
    </row>
    <row r="66" spans="2:3" ht="13.5" customHeight="1" x14ac:dyDescent="0.3">
      <c r="B66" s="7"/>
      <c r="C66" s="8"/>
    </row>
    <row r="67" spans="2:3" ht="13.5" customHeight="1" x14ac:dyDescent="0.3">
      <c r="B67" s="7"/>
      <c r="C67" s="8"/>
    </row>
    <row r="68" spans="2:3" ht="13.5" customHeight="1" x14ac:dyDescent="0.3">
      <c r="B68" s="7"/>
      <c r="C68" s="8"/>
    </row>
    <row r="69" spans="2:3" ht="13.5" customHeight="1" x14ac:dyDescent="0.3">
      <c r="B69" s="7"/>
      <c r="C69" s="8"/>
    </row>
    <row r="70" spans="2:3" ht="13.5" customHeight="1" x14ac:dyDescent="0.3">
      <c r="B70" s="7"/>
      <c r="C70" s="8"/>
    </row>
    <row r="71" spans="2:3" ht="13.5" customHeight="1" x14ac:dyDescent="0.3">
      <c r="B71" s="7"/>
      <c r="C71" s="8"/>
    </row>
    <row r="72" spans="2:3" ht="13.5" customHeight="1" x14ac:dyDescent="0.3">
      <c r="B72" s="7"/>
      <c r="C72" s="8"/>
    </row>
    <row r="73" spans="2:3" ht="13.5" customHeight="1" x14ac:dyDescent="0.3">
      <c r="B73" s="7"/>
      <c r="C73" s="8"/>
    </row>
    <row r="74" spans="2:3" ht="13.5" customHeight="1" x14ac:dyDescent="0.3">
      <c r="B74" s="7"/>
      <c r="C74" s="8"/>
    </row>
    <row r="75" spans="2:3" ht="13.5" customHeight="1" x14ac:dyDescent="0.3">
      <c r="B75" s="7"/>
      <c r="C75" s="8"/>
    </row>
    <row r="76" spans="2:3" ht="13.5" customHeight="1" x14ac:dyDescent="0.3">
      <c r="B76" s="7"/>
      <c r="C76" s="8"/>
    </row>
    <row r="77" spans="2:3" ht="13.5" customHeight="1" x14ac:dyDescent="0.3">
      <c r="B77" s="7"/>
      <c r="C77" s="8"/>
    </row>
    <row r="78" spans="2:3" ht="13.5" customHeight="1" x14ac:dyDescent="0.3">
      <c r="B78" s="7"/>
      <c r="C78" s="8"/>
    </row>
    <row r="79" spans="2:3" ht="13.5" customHeight="1" x14ac:dyDescent="0.3">
      <c r="B79" s="7"/>
      <c r="C79" s="8"/>
    </row>
    <row r="80" spans="2:3" ht="13.5" customHeight="1" x14ac:dyDescent="0.3">
      <c r="B80" s="7"/>
      <c r="C80" s="8"/>
    </row>
    <row r="81" spans="2:3" ht="13.5" customHeight="1" x14ac:dyDescent="0.3">
      <c r="B81" s="7"/>
      <c r="C81" s="8"/>
    </row>
    <row r="82" spans="2:3" ht="13.5" customHeight="1" x14ac:dyDescent="0.3">
      <c r="B82" s="7"/>
      <c r="C82" s="8"/>
    </row>
    <row r="83" spans="2:3" ht="13.5" customHeight="1" x14ac:dyDescent="0.3">
      <c r="B83" s="7"/>
      <c r="C83" s="8"/>
    </row>
    <row r="84" spans="2:3" ht="13.5" customHeight="1" x14ac:dyDescent="0.3">
      <c r="B84" s="7"/>
      <c r="C84" s="8"/>
    </row>
    <row r="85" spans="2:3" ht="13.5" customHeight="1" x14ac:dyDescent="0.3">
      <c r="B85" s="7"/>
      <c r="C85" s="8"/>
    </row>
    <row r="86" spans="2:3" ht="13.5" customHeight="1" x14ac:dyDescent="0.3">
      <c r="B86" s="7"/>
      <c r="C86" s="8"/>
    </row>
    <row r="87" spans="2:3" ht="13.5" customHeight="1" x14ac:dyDescent="0.3">
      <c r="B87" s="7"/>
      <c r="C87" s="8"/>
    </row>
    <row r="88" spans="2:3" ht="13.5" customHeight="1" x14ac:dyDescent="0.3">
      <c r="B88" s="7"/>
      <c r="C88" s="8"/>
    </row>
    <row r="89" spans="2:3" ht="13.5" customHeight="1" x14ac:dyDescent="0.3">
      <c r="B89" s="7"/>
      <c r="C89" s="8"/>
    </row>
    <row r="90" spans="2:3" ht="13.5" customHeight="1" x14ac:dyDescent="0.3">
      <c r="B90" s="7"/>
      <c r="C90" s="8"/>
    </row>
    <row r="91" spans="2:3" ht="13.5" customHeight="1" x14ac:dyDescent="0.3">
      <c r="B91" s="7"/>
      <c r="C91" s="8"/>
    </row>
    <row r="92" spans="2:3" ht="13.5" customHeight="1" x14ac:dyDescent="0.3">
      <c r="B92" s="7"/>
      <c r="C92" s="8"/>
    </row>
    <row r="93" spans="2:3" ht="13.5" customHeight="1" x14ac:dyDescent="0.3">
      <c r="B93" s="7"/>
      <c r="C93" s="8"/>
    </row>
    <row r="94" spans="2:3" ht="13.5" customHeight="1" x14ac:dyDescent="0.3">
      <c r="B94" s="7"/>
      <c r="C94" s="8"/>
    </row>
    <row r="95" spans="2:3" ht="13.5" customHeight="1" x14ac:dyDescent="0.3">
      <c r="B95" s="7"/>
      <c r="C95" s="8"/>
    </row>
    <row r="96" spans="2:3" ht="13.5" customHeight="1" x14ac:dyDescent="0.3">
      <c r="B96" s="7"/>
      <c r="C96" s="8"/>
    </row>
    <row r="97" spans="2:3" ht="13.5" customHeight="1" x14ac:dyDescent="0.3">
      <c r="B97" s="7"/>
      <c r="C97" s="8"/>
    </row>
    <row r="98" spans="2:3" ht="13.5" customHeight="1" x14ac:dyDescent="0.3">
      <c r="B98" s="7"/>
      <c r="C98" s="8"/>
    </row>
    <row r="99" spans="2:3" ht="13.5" customHeight="1" x14ac:dyDescent="0.3">
      <c r="B99" s="7"/>
      <c r="C99" s="8"/>
    </row>
    <row r="100" spans="2:3" ht="13.5" customHeight="1" x14ac:dyDescent="0.3">
      <c r="B100" s="7"/>
      <c r="C100" s="8"/>
    </row>
    <row r="101" spans="2:3" ht="13.5" customHeight="1" x14ac:dyDescent="0.3">
      <c r="B101" s="7"/>
      <c r="C101" s="8"/>
    </row>
    <row r="102" spans="2:3" ht="13.5" customHeight="1" x14ac:dyDescent="0.3">
      <c r="B102" s="7"/>
      <c r="C102" s="8"/>
    </row>
    <row r="103" spans="2:3" ht="13.5" customHeight="1" x14ac:dyDescent="0.3">
      <c r="B103" s="7"/>
      <c r="C103" s="8"/>
    </row>
    <row r="104" spans="2:3" ht="13.5" customHeight="1" x14ac:dyDescent="0.3">
      <c r="B104" s="7"/>
      <c r="C104" s="8"/>
    </row>
    <row r="105" spans="2:3" ht="13.5" customHeight="1" x14ac:dyDescent="0.3">
      <c r="B105" s="7"/>
      <c r="C105" s="8"/>
    </row>
    <row r="106" spans="2:3" ht="13.5" customHeight="1" x14ac:dyDescent="0.3">
      <c r="B106" s="7"/>
      <c r="C106" s="8"/>
    </row>
    <row r="107" spans="2:3" ht="13.5" customHeight="1" x14ac:dyDescent="0.3">
      <c r="B107" s="7"/>
      <c r="C107" s="8"/>
    </row>
    <row r="108" spans="2:3" ht="13.5" customHeight="1" x14ac:dyDescent="0.3">
      <c r="B108" s="7"/>
      <c r="C108" s="8"/>
    </row>
    <row r="109" spans="2:3" ht="13.5" customHeight="1" x14ac:dyDescent="0.3">
      <c r="B109" s="7"/>
      <c r="C109" s="8"/>
    </row>
    <row r="110" spans="2:3" ht="13.5" customHeight="1" x14ac:dyDescent="0.3">
      <c r="B110" s="7"/>
      <c r="C110" s="8"/>
    </row>
    <row r="111" spans="2:3" ht="13.5" customHeight="1" x14ac:dyDescent="0.3">
      <c r="B111" s="7"/>
      <c r="C111" s="8"/>
    </row>
    <row r="112" spans="2:3" ht="13.5" customHeight="1" x14ac:dyDescent="0.3">
      <c r="B112" s="7"/>
      <c r="C112" s="8"/>
    </row>
    <row r="113" spans="2:3" ht="13.5" customHeight="1" x14ac:dyDescent="0.3">
      <c r="B113" s="7"/>
      <c r="C113" s="8"/>
    </row>
    <row r="114" spans="2:3" ht="13.5" customHeight="1" x14ac:dyDescent="0.3">
      <c r="B114" s="7"/>
      <c r="C114" s="8"/>
    </row>
    <row r="115" spans="2:3" ht="13.5" customHeight="1" x14ac:dyDescent="0.3">
      <c r="B115" s="7"/>
      <c r="C115" s="8"/>
    </row>
    <row r="116" spans="2:3" ht="13.5" customHeight="1" x14ac:dyDescent="0.3">
      <c r="B116" s="7"/>
      <c r="C116" s="8"/>
    </row>
    <row r="117" spans="2:3" ht="13.5" customHeight="1" x14ac:dyDescent="0.3">
      <c r="B117" s="7"/>
      <c r="C117" s="8"/>
    </row>
    <row r="118" spans="2:3" ht="13.5" customHeight="1" x14ac:dyDescent="0.3">
      <c r="B118" s="7"/>
      <c r="C118" s="8"/>
    </row>
    <row r="119" spans="2:3" ht="13.5" customHeight="1" x14ac:dyDescent="0.3">
      <c r="B119" s="7"/>
      <c r="C119" s="8"/>
    </row>
    <row r="120" spans="2:3" ht="13.5" customHeight="1" x14ac:dyDescent="0.3">
      <c r="B120" s="7"/>
      <c r="C120" s="8"/>
    </row>
    <row r="121" spans="2:3" ht="13.5" customHeight="1" x14ac:dyDescent="0.3">
      <c r="B121" s="7"/>
      <c r="C121" s="8"/>
    </row>
    <row r="122" spans="2:3" ht="13.5" customHeight="1" x14ac:dyDescent="0.3">
      <c r="B122" s="7"/>
      <c r="C122" s="8"/>
    </row>
    <row r="123" spans="2:3" ht="13.5" customHeight="1" x14ac:dyDescent="0.3">
      <c r="B123" s="7"/>
      <c r="C123" s="8"/>
    </row>
    <row r="124" spans="2:3" ht="13.5" customHeight="1" x14ac:dyDescent="0.3">
      <c r="B124" s="7"/>
      <c r="C124" s="8"/>
    </row>
    <row r="125" spans="2:3" ht="13.5" customHeight="1" x14ac:dyDescent="0.3">
      <c r="B125" s="7"/>
      <c r="C125" s="8"/>
    </row>
    <row r="126" spans="2:3" ht="13.5" customHeight="1" x14ac:dyDescent="0.3">
      <c r="B126" s="7"/>
      <c r="C126" s="8"/>
    </row>
    <row r="127" spans="2:3" ht="13.5" customHeight="1" x14ac:dyDescent="0.3">
      <c r="B127" s="7"/>
      <c r="C127" s="8"/>
    </row>
    <row r="128" spans="2:3" ht="13.5" customHeight="1" x14ac:dyDescent="0.3">
      <c r="B128" s="7"/>
      <c r="C128" s="8"/>
    </row>
    <row r="129" spans="2:3" ht="13.5" customHeight="1" x14ac:dyDescent="0.3">
      <c r="B129" s="7"/>
      <c r="C129" s="8"/>
    </row>
    <row r="130" spans="2:3" ht="13.5" customHeight="1" x14ac:dyDescent="0.3">
      <c r="B130" s="7"/>
      <c r="C130" s="8"/>
    </row>
    <row r="131" spans="2:3" ht="13.5" customHeight="1" x14ac:dyDescent="0.3">
      <c r="B131" s="7"/>
      <c r="C131" s="8"/>
    </row>
    <row r="132" spans="2:3" ht="13.5" customHeight="1" x14ac:dyDescent="0.3">
      <c r="B132" s="7"/>
      <c r="C132" s="8"/>
    </row>
    <row r="133" spans="2:3" ht="13.5" customHeight="1" x14ac:dyDescent="0.3">
      <c r="B133" s="7"/>
      <c r="C133" s="8"/>
    </row>
    <row r="134" spans="2:3" ht="13.5" customHeight="1" x14ac:dyDescent="0.3">
      <c r="B134" s="7"/>
      <c r="C134" s="8"/>
    </row>
    <row r="135" spans="2:3" ht="13.5" customHeight="1" x14ac:dyDescent="0.3">
      <c r="B135" s="7"/>
      <c r="C135" s="8"/>
    </row>
    <row r="136" spans="2:3" ht="13.5" customHeight="1" x14ac:dyDescent="0.3">
      <c r="B136" s="7"/>
      <c r="C136" s="8"/>
    </row>
    <row r="137" spans="2:3" ht="13.5" customHeight="1" x14ac:dyDescent="0.3">
      <c r="B137" s="7"/>
      <c r="C137" s="8"/>
    </row>
    <row r="138" spans="2:3" ht="13.5" customHeight="1" x14ac:dyDescent="0.3">
      <c r="B138" s="7"/>
      <c r="C138" s="8"/>
    </row>
    <row r="139" spans="2:3" ht="13.5" customHeight="1" x14ac:dyDescent="0.3">
      <c r="B139" s="7"/>
      <c r="C139" s="8"/>
    </row>
    <row r="140" spans="2:3" ht="13.5" customHeight="1" x14ac:dyDescent="0.3">
      <c r="B140" s="7"/>
      <c r="C140" s="8"/>
    </row>
    <row r="141" spans="2:3" ht="13.5" customHeight="1" x14ac:dyDescent="0.3">
      <c r="B141" s="7"/>
      <c r="C141" s="8"/>
    </row>
    <row r="142" spans="2:3" ht="13.5" customHeight="1" x14ac:dyDescent="0.3">
      <c r="B142" s="7"/>
      <c r="C142" s="8"/>
    </row>
    <row r="143" spans="2:3" ht="13.5" customHeight="1" x14ac:dyDescent="0.3">
      <c r="B143" s="7"/>
      <c r="C143" s="8"/>
    </row>
    <row r="144" spans="2:3" ht="13.5" customHeight="1" x14ac:dyDescent="0.3">
      <c r="B144" s="7"/>
      <c r="C144" s="8"/>
    </row>
    <row r="145" spans="2:3" ht="13.5" customHeight="1" x14ac:dyDescent="0.3">
      <c r="B145" s="7"/>
      <c r="C145" s="8"/>
    </row>
    <row r="146" spans="2:3" ht="13.5" customHeight="1" x14ac:dyDescent="0.3">
      <c r="B146" s="7"/>
      <c r="C146" s="8"/>
    </row>
    <row r="147" spans="2:3" ht="13.5" customHeight="1" x14ac:dyDescent="0.3">
      <c r="B147" s="7"/>
      <c r="C147" s="8"/>
    </row>
    <row r="148" spans="2:3" ht="13.5" customHeight="1" x14ac:dyDescent="0.3">
      <c r="B148" s="7"/>
      <c r="C148" s="8"/>
    </row>
    <row r="149" spans="2:3" ht="13.5" customHeight="1" x14ac:dyDescent="0.3">
      <c r="B149" s="7"/>
      <c r="C149" s="8"/>
    </row>
    <row r="150" spans="2:3" ht="13.5" customHeight="1" x14ac:dyDescent="0.3">
      <c r="B150" s="7"/>
      <c r="C150" s="8"/>
    </row>
    <row r="151" spans="2:3" ht="13.5" customHeight="1" x14ac:dyDescent="0.3">
      <c r="B151" s="7"/>
      <c r="C151" s="8"/>
    </row>
    <row r="152" spans="2:3" ht="13.5" customHeight="1" x14ac:dyDescent="0.3">
      <c r="B152" s="7"/>
      <c r="C152" s="8"/>
    </row>
    <row r="153" spans="2:3" ht="13.5" customHeight="1" x14ac:dyDescent="0.3">
      <c r="B153" s="7"/>
      <c r="C153" s="8"/>
    </row>
    <row r="154" spans="2:3" ht="13.5" customHeight="1" x14ac:dyDescent="0.3">
      <c r="B154" s="7"/>
      <c r="C154" s="8"/>
    </row>
    <row r="155" spans="2:3" ht="13.5" customHeight="1" x14ac:dyDescent="0.3">
      <c r="B155" s="7"/>
      <c r="C155" s="8"/>
    </row>
    <row r="156" spans="2:3" ht="13.5" customHeight="1" x14ac:dyDescent="0.3">
      <c r="B156" s="7"/>
      <c r="C156" s="8"/>
    </row>
    <row r="157" spans="2:3" ht="13.5" customHeight="1" x14ac:dyDescent="0.3">
      <c r="B157" s="7"/>
      <c r="C157" s="8"/>
    </row>
    <row r="158" spans="2:3" ht="13.5" customHeight="1" x14ac:dyDescent="0.3">
      <c r="B158" s="7"/>
      <c r="C158" s="8"/>
    </row>
    <row r="159" spans="2:3" ht="13.5" customHeight="1" x14ac:dyDescent="0.3">
      <c r="B159" s="7"/>
      <c r="C159" s="8"/>
    </row>
    <row r="160" spans="2:3" ht="13.5" customHeight="1" x14ac:dyDescent="0.3">
      <c r="B160" s="7"/>
      <c r="C160" s="8"/>
    </row>
    <row r="161" spans="2:3" ht="13.5" customHeight="1" x14ac:dyDescent="0.3">
      <c r="B161" s="7"/>
      <c r="C161" s="8"/>
    </row>
    <row r="162" spans="2:3" ht="13.5" customHeight="1" x14ac:dyDescent="0.3">
      <c r="B162" s="7"/>
      <c r="C162" s="8"/>
    </row>
    <row r="163" spans="2:3" ht="13.5" customHeight="1" x14ac:dyDescent="0.3">
      <c r="B163" s="7"/>
      <c r="C163" s="8"/>
    </row>
    <row r="164" spans="2:3" ht="13.5" customHeight="1" x14ac:dyDescent="0.3">
      <c r="B164" s="7"/>
      <c r="C164" s="8"/>
    </row>
    <row r="165" spans="2:3" ht="13.5" customHeight="1" x14ac:dyDescent="0.3">
      <c r="B165" s="7"/>
      <c r="C165" s="8"/>
    </row>
    <row r="166" spans="2:3" ht="13.5" customHeight="1" x14ac:dyDescent="0.3">
      <c r="B166" s="7"/>
      <c r="C166" s="8"/>
    </row>
    <row r="167" spans="2:3" ht="13.5" customHeight="1" x14ac:dyDescent="0.3">
      <c r="B167" s="7"/>
      <c r="C167" s="8"/>
    </row>
    <row r="168" spans="2:3" ht="13.5" customHeight="1" x14ac:dyDescent="0.3">
      <c r="B168" s="7"/>
      <c r="C168" s="8"/>
    </row>
    <row r="169" spans="2:3" ht="13.5" customHeight="1" x14ac:dyDescent="0.3">
      <c r="B169" s="7"/>
      <c r="C169" s="8"/>
    </row>
    <row r="170" spans="2:3" ht="13.5" customHeight="1" x14ac:dyDescent="0.3">
      <c r="B170" s="7"/>
      <c r="C170" s="8"/>
    </row>
    <row r="171" spans="2:3" ht="13.5" customHeight="1" x14ac:dyDescent="0.3">
      <c r="B171" s="7"/>
      <c r="C171" s="8"/>
    </row>
    <row r="172" spans="2:3" ht="13.5" customHeight="1" x14ac:dyDescent="0.3">
      <c r="B172" s="7"/>
      <c r="C172" s="8"/>
    </row>
    <row r="173" spans="2:3" ht="13.5" customHeight="1" x14ac:dyDescent="0.3">
      <c r="B173" s="7"/>
      <c r="C173" s="8"/>
    </row>
    <row r="174" spans="2:3" ht="13.5" customHeight="1" x14ac:dyDescent="0.3">
      <c r="B174" s="7"/>
      <c r="C174" s="8"/>
    </row>
    <row r="175" spans="2:3" ht="13.5" customHeight="1" x14ac:dyDescent="0.3">
      <c r="B175" s="7"/>
      <c r="C175" s="8"/>
    </row>
    <row r="176" spans="2:3" ht="13.5" customHeight="1" x14ac:dyDescent="0.3">
      <c r="B176" s="7"/>
      <c r="C176" s="8"/>
    </row>
    <row r="177" spans="2:3" ht="13.5" customHeight="1" x14ac:dyDescent="0.3">
      <c r="B177" s="7"/>
      <c r="C177" s="8"/>
    </row>
    <row r="178" spans="2:3" ht="13.5" customHeight="1" x14ac:dyDescent="0.3">
      <c r="B178" s="7"/>
      <c r="C178" s="8"/>
    </row>
    <row r="179" spans="2:3" ht="13.5" customHeight="1" x14ac:dyDescent="0.3">
      <c r="B179" s="7"/>
      <c r="C179" s="8"/>
    </row>
    <row r="180" spans="2:3" ht="13.5" customHeight="1" x14ac:dyDescent="0.3">
      <c r="B180" s="7"/>
      <c r="C180" s="8"/>
    </row>
    <row r="181" spans="2:3" ht="13.5" customHeight="1" x14ac:dyDescent="0.3">
      <c r="B181" s="7"/>
      <c r="C181" s="8"/>
    </row>
    <row r="182" spans="2:3" ht="13.5" customHeight="1" x14ac:dyDescent="0.3">
      <c r="B182" s="7"/>
      <c r="C182" s="8"/>
    </row>
    <row r="183" spans="2:3" ht="13.5" customHeight="1" x14ac:dyDescent="0.3">
      <c r="B183" s="7"/>
      <c r="C183" s="8"/>
    </row>
    <row r="184" spans="2:3" ht="13.5" customHeight="1" x14ac:dyDescent="0.3">
      <c r="B184" s="7"/>
      <c r="C184" s="8"/>
    </row>
    <row r="185" spans="2:3" ht="13.5" customHeight="1" x14ac:dyDescent="0.3">
      <c r="B185" s="7"/>
      <c r="C185" s="8"/>
    </row>
    <row r="186" spans="2:3" ht="13.5" customHeight="1" x14ac:dyDescent="0.3">
      <c r="B186" s="7"/>
      <c r="C186" s="8"/>
    </row>
    <row r="187" spans="2:3" ht="13.5" customHeight="1" x14ac:dyDescent="0.3">
      <c r="B187" s="7"/>
      <c r="C187" s="8"/>
    </row>
    <row r="188" spans="2:3" ht="13.5" customHeight="1" x14ac:dyDescent="0.3">
      <c r="B188" s="7"/>
      <c r="C188" s="8"/>
    </row>
    <row r="189" spans="2:3" ht="13.5" customHeight="1" x14ac:dyDescent="0.3">
      <c r="B189" s="7"/>
      <c r="C189" s="8"/>
    </row>
    <row r="190" spans="2:3" ht="13.5" customHeight="1" x14ac:dyDescent="0.3">
      <c r="B190" s="7"/>
      <c r="C190" s="8"/>
    </row>
    <row r="191" spans="2:3" ht="13.5" customHeight="1" x14ac:dyDescent="0.3">
      <c r="B191" s="7"/>
      <c r="C191" s="8"/>
    </row>
    <row r="192" spans="2:3" ht="13.5" customHeight="1" x14ac:dyDescent="0.3">
      <c r="B192" s="7"/>
      <c r="C192" s="8"/>
    </row>
    <row r="193" spans="2:3" ht="13.5" customHeight="1" x14ac:dyDescent="0.3">
      <c r="B193" s="7"/>
      <c r="C193" s="8"/>
    </row>
    <row r="194" spans="2:3" ht="13.5" customHeight="1" x14ac:dyDescent="0.3">
      <c r="B194" s="7"/>
      <c r="C194" s="8"/>
    </row>
    <row r="195" spans="2:3" ht="13.5" customHeight="1" x14ac:dyDescent="0.3">
      <c r="B195" s="7"/>
      <c r="C195" s="8"/>
    </row>
    <row r="196" spans="2:3" ht="13.5" customHeight="1" x14ac:dyDescent="0.3">
      <c r="B196" s="7"/>
      <c r="C196" s="8"/>
    </row>
    <row r="197" spans="2:3" ht="13.5" customHeight="1" x14ac:dyDescent="0.3">
      <c r="B197" s="7"/>
      <c r="C197" s="8"/>
    </row>
    <row r="198" spans="2:3" ht="13.5" customHeight="1" x14ac:dyDescent="0.3">
      <c r="B198" s="7"/>
      <c r="C198" s="8"/>
    </row>
    <row r="199" spans="2:3" ht="13.5" customHeight="1" x14ac:dyDescent="0.3">
      <c r="B199" s="7"/>
      <c r="C199" s="8"/>
    </row>
    <row r="200" spans="2:3" ht="13.5" customHeight="1" x14ac:dyDescent="0.3">
      <c r="B200" s="7"/>
      <c r="C200" s="8"/>
    </row>
    <row r="201" spans="2:3" ht="13.5" customHeight="1" x14ac:dyDescent="0.3">
      <c r="B201" s="7"/>
      <c r="C201" s="8"/>
    </row>
    <row r="202" spans="2:3" ht="13.5" customHeight="1" x14ac:dyDescent="0.3">
      <c r="B202" s="7"/>
      <c r="C202" s="8"/>
    </row>
    <row r="203" spans="2:3" ht="13.5" customHeight="1" x14ac:dyDescent="0.3">
      <c r="B203" s="7"/>
      <c r="C203" s="8"/>
    </row>
    <row r="204" spans="2:3" ht="13.5" customHeight="1" x14ac:dyDescent="0.3">
      <c r="B204" s="7"/>
      <c r="C204" s="8"/>
    </row>
    <row r="205" spans="2:3" ht="13.5" customHeight="1" x14ac:dyDescent="0.3">
      <c r="B205" s="7"/>
      <c r="C205" s="8"/>
    </row>
    <row r="206" spans="2:3" ht="13.5" customHeight="1" x14ac:dyDescent="0.3">
      <c r="B206" s="7"/>
      <c r="C206" s="8"/>
    </row>
    <row r="207" spans="2:3" ht="13.5" customHeight="1" x14ac:dyDescent="0.3">
      <c r="B207" s="7"/>
      <c r="C207" s="8"/>
    </row>
    <row r="208" spans="2:3" ht="13.5" customHeight="1" x14ac:dyDescent="0.3">
      <c r="B208" s="7"/>
      <c r="C208" s="8"/>
    </row>
    <row r="209" spans="2:3" ht="13.5" customHeight="1" x14ac:dyDescent="0.3">
      <c r="B209" s="7"/>
      <c r="C209" s="8"/>
    </row>
    <row r="210" spans="2:3" ht="13.5" customHeight="1" x14ac:dyDescent="0.3">
      <c r="B210" s="7"/>
      <c r="C210" s="8"/>
    </row>
    <row r="211" spans="2:3" ht="13.5" customHeight="1" x14ac:dyDescent="0.3">
      <c r="B211" s="7"/>
      <c r="C211" s="8"/>
    </row>
    <row r="212" spans="2:3" ht="13.5" customHeight="1" x14ac:dyDescent="0.3">
      <c r="B212" s="7"/>
      <c r="C212" s="8"/>
    </row>
    <row r="213" spans="2:3" ht="13.5" customHeight="1" x14ac:dyDescent="0.3">
      <c r="B213" s="7"/>
      <c r="C213" s="8"/>
    </row>
    <row r="214" spans="2:3" ht="13.5" customHeight="1" x14ac:dyDescent="0.3">
      <c r="B214" s="7"/>
      <c r="C214" s="8"/>
    </row>
    <row r="215" spans="2:3" ht="13.5" customHeight="1" x14ac:dyDescent="0.3">
      <c r="B215" s="7"/>
      <c r="C215" s="8"/>
    </row>
    <row r="216" spans="2:3" ht="13.5" customHeight="1" x14ac:dyDescent="0.3">
      <c r="B216" s="7"/>
      <c r="C216" s="8"/>
    </row>
    <row r="217" spans="2:3" ht="13.5" customHeight="1" x14ac:dyDescent="0.3">
      <c r="B217" s="7"/>
      <c r="C217" s="8"/>
    </row>
    <row r="218" spans="2:3" ht="13.5" customHeight="1" x14ac:dyDescent="0.3">
      <c r="B218" s="7"/>
      <c r="C218" s="8"/>
    </row>
    <row r="219" spans="2:3" ht="13.5" customHeight="1" x14ac:dyDescent="0.3">
      <c r="B219" s="7"/>
      <c r="C219" s="8"/>
    </row>
    <row r="220" spans="2:3" ht="13.5" customHeight="1" x14ac:dyDescent="0.3">
      <c r="B220" s="7"/>
      <c r="C220" s="8"/>
    </row>
    <row r="221" spans="2:3" ht="13.5" customHeight="1" x14ac:dyDescent="0.3">
      <c r="B221" s="7"/>
      <c r="C221" s="8"/>
    </row>
    <row r="222" spans="2:3" ht="13.5" customHeight="1" x14ac:dyDescent="0.3">
      <c r="B222" s="7"/>
      <c r="C222" s="8"/>
    </row>
    <row r="223" spans="2:3" ht="13.5" customHeight="1" x14ac:dyDescent="0.3">
      <c r="B223" s="7"/>
      <c r="C223" s="8"/>
    </row>
    <row r="224" spans="2:3" ht="13.5" customHeight="1" x14ac:dyDescent="0.3">
      <c r="B224" s="7"/>
      <c r="C224" s="8"/>
    </row>
    <row r="225" spans="2:3" ht="13.5" customHeight="1" x14ac:dyDescent="0.3">
      <c r="B225" s="7"/>
      <c r="C225" s="8"/>
    </row>
    <row r="226" spans="2:3" ht="13.5" customHeight="1" x14ac:dyDescent="0.3">
      <c r="B226" s="7"/>
      <c r="C226" s="8"/>
    </row>
    <row r="227" spans="2:3" ht="13.5" customHeight="1" x14ac:dyDescent="0.3">
      <c r="B227" s="7"/>
      <c r="C227" s="8"/>
    </row>
    <row r="228" spans="2:3" ht="13.5" customHeight="1" x14ac:dyDescent="0.3">
      <c r="B228" s="7"/>
      <c r="C228" s="8"/>
    </row>
    <row r="229" spans="2:3" ht="13.5" customHeight="1" x14ac:dyDescent="0.3">
      <c r="B229" s="7"/>
      <c r="C229" s="8"/>
    </row>
    <row r="230" spans="2:3" ht="13.5" customHeight="1" x14ac:dyDescent="0.3">
      <c r="B230" s="7"/>
      <c r="C230" s="8"/>
    </row>
    <row r="231" spans="2:3" ht="13.5" customHeight="1" x14ac:dyDescent="0.3">
      <c r="B231" s="7"/>
      <c r="C231" s="8"/>
    </row>
    <row r="232" spans="2:3" ht="13.5" customHeight="1" x14ac:dyDescent="0.3">
      <c r="B232" s="7"/>
      <c r="C232" s="8"/>
    </row>
    <row r="233" spans="2:3" ht="13.5" customHeight="1" x14ac:dyDescent="0.3">
      <c r="B233" s="7"/>
      <c r="C233" s="8"/>
    </row>
    <row r="234" spans="2:3" ht="13.5" customHeight="1" x14ac:dyDescent="0.3">
      <c r="B234" s="7"/>
      <c r="C234" s="8"/>
    </row>
    <row r="235" spans="2:3" ht="13.5" customHeight="1" x14ac:dyDescent="0.3">
      <c r="B235" s="7"/>
      <c r="C235" s="8"/>
    </row>
    <row r="236" spans="2:3" ht="13.5" customHeight="1" x14ac:dyDescent="0.3">
      <c r="B236" s="7"/>
      <c r="C236" s="8"/>
    </row>
    <row r="237" spans="2:3" ht="13.5" customHeight="1" x14ac:dyDescent="0.3">
      <c r="B237" s="7"/>
      <c r="C237" s="8"/>
    </row>
    <row r="238" spans="2:3" ht="13.5" customHeight="1" x14ac:dyDescent="0.3">
      <c r="B238" s="7"/>
      <c r="C238" s="8"/>
    </row>
    <row r="239" spans="2:3" ht="13.5" customHeight="1" x14ac:dyDescent="0.3">
      <c r="B239" s="7"/>
      <c r="C239" s="8"/>
    </row>
    <row r="240" spans="2:3" ht="13.5" customHeight="1" x14ac:dyDescent="0.3">
      <c r="B240" s="7"/>
      <c r="C240" s="8"/>
    </row>
    <row r="241" spans="2:3" ht="13.5" customHeight="1" x14ac:dyDescent="0.3">
      <c r="B241" s="7"/>
      <c r="C241" s="8"/>
    </row>
    <row r="242" spans="2:3" ht="13.5" customHeight="1" x14ac:dyDescent="0.3">
      <c r="B242" s="7"/>
      <c r="C242" s="8"/>
    </row>
    <row r="243" spans="2:3" ht="13.5" customHeight="1" x14ac:dyDescent="0.3">
      <c r="B243" s="7"/>
      <c r="C243" s="8"/>
    </row>
    <row r="244" spans="2:3" ht="13.5" customHeight="1" x14ac:dyDescent="0.3">
      <c r="B244" s="7"/>
      <c r="C244" s="8"/>
    </row>
    <row r="245" spans="2:3" ht="13.5" customHeight="1" x14ac:dyDescent="0.3">
      <c r="B245" s="7"/>
      <c r="C245" s="8"/>
    </row>
    <row r="246" spans="2:3" ht="13.5" customHeight="1" x14ac:dyDescent="0.3">
      <c r="B246" s="7"/>
      <c r="C246" s="8"/>
    </row>
    <row r="247" spans="2:3" ht="13.5" customHeight="1" x14ac:dyDescent="0.3">
      <c r="B247" s="7"/>
      <c r="C247" s="8"/>
    </row>
    <row r="248" spans="2:3" ht="13.5" customHeight="1" x14ac:dyDescent="0.3">
      <c r="B248" s="7"/>
      <c r="C248" s="8"/>
    </row>
    <row r="249" spans="2:3" ht="13.5" customHeight="1" x14ac:dyDescent="0.3">
      <c r="B249" s="7"/>
      <c r="C249" s="8"/>
    </row>
    <row r="250" spans="2:3" ht="13.5" customHeight="1" x14ac:dyDescent="0.3">
      <c r="B250" s="7"/>
      <c r="C250" s="8"/>
    </row>
    <row r="251" spans="2:3" ht="13.5" customHeight="1" x14ac:dyDescent="0.3">
      <c r="B251" s="7"/>
      <c r="C251" s="8"/>
    </row>
    <row r="252" spans="2:3" ht="13.5" customHeight="1" x14ac:dyDescent="0.3">
      <c r="B252" s="7"/>
      <c r="C252" s="8"/>
    </row>
    <row r="253" spans="2:3" ht="13.5" customHeight="1" x14ac:dyDescent="0.3">
      <c r="B253" s="7"/>
      <c r="C253" s="8"/>
    </row>
    <row r="254" spans="2:3" ht="13.5" customHeight="1" x14ac:dyDescent="0.3">
      <c r="B254" s="7"/>
      <c r="C254" s="8"/>
    </row>
    <row r="255" spans="2:3" ht="13.5" customHeight="1" x14ac:dyDescent="0.3">
      <c r="B255" s="7"/>
      <c r="C255" s="8"/>
    </row>
    <row r="256" spans="2:3" ht="13.5" customHeight="1" x14ac:dyDescent="0.3">
      <c r="B256" s="7"/>
      <c r="C256" s="8"/>
    </row>
    <row r="257" spans="2:3" ht="13.5" customHeight="1" x14ac:dyDescent="0.3">
      <c r="B257" s="7"/>
      <c r="C257" s="8"/>
    </row>
    <row r="258" spans="2:3" ht="13.5" customHeight="1" x14ac:dyDescent="0.3">
      <c r="B258" s="7"/>
      <c r="C258" s="8"/>
    </row>
    <row r="259" spans="2:3" ht="13.5" customHeight="1" x14ac:dyDescent="0.3">
      <c r="B259" s="7"/>
      <c r="C259" s="8"/>
    </row>
    <row r="260" spans="2:3" ht="13.5" customHeight="1" x14ac:dyDescent="0.3">
      <c r="B260" s="7"/>
      <c r="C260" s="8"/>
    </row>
    <row r="261" spans="2:3" ht="13.5" customHeight="1" x14ac:dyDescent="0.3">
      <c r="B261" s="7"/>
      <c r="C261" s="8"/>
    </row>
    <row r="262" spans="2:3" ht="13.5" customHeight="1" x14ac:dyDescent="0.3">
      <c r="B262" s="7"/>
      <c r="C262" s="8"/>
    </row>
    <row r="263" spans="2:3" ht="13.5" customHeight="1" x14ac:dyDescent="0.3">
      <c r="B263" s="7"/>
      <c r="C263" s="8"/>
    </row>
    <row r="264" spans="2:3" ht="13.5" customHeight="1" x14ac:dyDescent="0.3">
      <c r="B264" s="7"/>
      <c r="C264" s="8"/>
    </row>
    <row r="265" spans="2:3" ht="13.5" customHeight="1" x14ac:dyDescent="0.3">
      <c r="B265" s="7"/>
      <c r="C265" s="8"/>
    </row>
    <row r="266" spans="2:3" ht="13.5" customHeight="1" x14ac:dyDescent="0.3">
      <c r="B266" s="7"/>
      <c r="C266" s="8"/>
    </row>
    <row r="267" spans="2:3" ht="13.5" customHeight="1" x14ac:dyDescent="0.3">
      <c r="B267" s="7"/>
      <c r="C267" s="8"/>
    </row>
    <row r="268" spans="2:3" ht="13.5" customHeight="1" x14ac:dyDescent="0.3">
      <c r="B268" s="7"/>
      <c r="C268" s="8"/>
    </row>
    <row r="269" spans="2:3" ht="13.5" customHeight="1" x14ac:dyDescent="0.3">
      <c r="B269" s="7"/>
      <c r="C269" s="8"/>
    </row>
    <row r="270" spans="2:3" ht="13.5" customHeight="1" x14ac:dyDescent="0.3">
      <c r="B270" s="7"/>
      <c r="C270" s="8"/>
    </row>
    <row r="271" spans="2:3" ht="13.5" customHeight="1" x14ac:dyDescent="0.3">
      <c r="B271" s="7"/>
      <c r="C271" s="8"/>
    </row>
    <row r="272" spans="2:3" ht="13.5" customHeight="1" x14ac:dyDescent="0.3">
      <c r="B272" s="7"/>
      <c r="C272" s="8"/>
    </row>
    <row r="273" spans="2:3" ht="13.5" customHeight="1" x14ac:dyDescent="0.3">
      <c r="B273" s="7"/>
      <c r="C273" s="8"/>
    </row>
    <row r="274" spans="2:3" ht="13.5" customHeight="1" x14ac:dyDescent="0.3">
      <c r="B274" s="7"/>
      <c r="C274" s="8"/>
    </row>
    <row r="275" spans="2:3" ht="13.5" customHeight="1" x14ac:dyDescent="0.3">
      <c r="B275" s="7"/>
      <c r="C275" s="8"/>
    </row>
    <row r="276" spans="2:3" ht="13.5" customHeight="1" x14ac:dyDescent="0.3">
      <c r="B276" s="7"/>
      <c r="C276" s="8"/>
    </row>
    <row r="277" spans="2:3" ht="13.5" customHeight="1" x14ac:dyDescent="0.3">
      <c r="B277" s="7"/>
      <c r="C277" s="8"/>
    </row>
    <row r="278" spans="2:3" ht="13.5" customHeight="1" x14ac:dyDescent="0.3">
      <c r="B278" s="7"/>
      <c r="C278" s="8"/>
    </row>
    <row r="279" spans="2:3" ht="13.5" customHeight="1" x14ac:dyDescent="0.3">
      <c r="B279" s="7"/>
      <c r="C279" s="8"/>
    </row>
    <row r="280" spans="2:3" ht="13.5" customHeight="1" x14ac:dyDescent="0.3">
      <c r="B280" s="7"/>
      <c r="C280" s="8"/>
    </row>
    <row r="281" spans="2:3" ht="13.5" customHeight="1" x14ac:dyDescent="0.3">
      <c r="B281" s="7"/>
      <c r="C281" s="8"/>
    </row>
    <row r="282" spans="2:3" ht="13.5" customHeight="1" x14ac:dyDescent="0.3">
      <c r="B282" s="7"/>
      <c r="C282" s="8"/>
    </row>
    <row r="283" spans="2:3" ht="13.5" customHeight="1" x14ac:dyDescent="0.3">
      <c r="B283" s="7"/>
      <c r="C283" s="8"/>
    </row>
    <row r="284" spans="2:3" ht="13.5" customHeight="1" x14ac:dyDescent="0.3">
      <c r="B284" s="7"/>
      <c r="C284" s="8"/>
    </row>
    <row r="285" spans="2:3" ht="13.5" customHeight="1" x14ac:dyDescent="0.3">
      <c r="B285" s="7"/>
      <c r="C285" s="8"/>
    </row>
    <row r="286" spans="2:3" ht="13.5" customHeight="1" x14ac:dyDescent="0.3">
      <c r="B286" s="7"/>
      <c r="C286" s="8"/>
    </row>
    <row r="287" spans="2:3" ht="13.5" customHeight="1" x14ac:dyDescent="0.3">
      <c r="B287" s="7"/>
      <c r="C287" s="8"/>
    </row>
    <row r="288" spans="2:3" ht="13.5" customHeight="1" x14ac:dyDescent="0.3">
      <c r="B288" s="7"/>
      <c r="C288" s="8"/>
    </row>
    <row r="289" spans="2:3" ht="13.5" customHeight="1" x14ac:dyDescent="0.3">
      <c r="B289" s="7"/>
      <c r="C289" s="8"/>
    </row>
    <row r="290" spans="2:3" ht="13.5" customHeight="1" x14ac:dyDescent="0.3">
      <c r="B290" s="7"/>
      <c r="C290" s="8"/>
    </row>
    <row r="291" spans="2:3" ht="13.5" customHeight="1" x14ac:dyDescent="0.3">
      <c r="B291" s="7"/>
      <c r="C291" s="8"/>
    </row>
    <row r="292" spans="2:3" ht="13.5" customHeight="1" x14ac:dyDescent="0.3">
      <c r="B292" s="7"/>
      <c r="C292" s="8"/>
    </row>
    <row r="293" spans="2:3" ht="13.5" customHeight="1" x14ac:dyDescent="0.3">
      <c r="B293" s="7"/>
      <c r="C293" s="8"/>
    </row>
    <row r="294" spans="2:3" ht="13.5" customHeight="1" x14ac:dyDescent="0.3">
      <c r="B294" s="7"/>
      <c r="C294" s="8"/>
    </row>
    <row r="295" spans="2:3" ht="13.5" customHeight="1" x14ac:dyDescent="0.3">
      <c r="B295" s="7"/>
      <c r="C295" s="8"/>
    </row>
    <row r="296" spans="2:3" ht="13.5" customHeight="1" x14ac:dyDescent="0.3">
      <c r="B296" s="7"/>
      <c r="C296" s="8"/>
    </row>
    <row r="297" spans="2:3" ht="13.5" customHeight="1" x14ac:dyDescent="0.3">
      <c r="B297" s="7"/>
      <c r="C297" s="8"/>
    </row>
    <row r="298" spans="2:3" ht="13.5" customHeight="1" x14ac:dyDescent="0.3">
      <c r="B298" s="7"/>
      <c r="C298" s="8"/>
    </row>
    <row r="299" spans="2:3" ht="13.5" customHeight="1" x14ac:dyDescent="0.3">
      <c r="B299" s="7"/>
      <c r="C299" s="8"/>
    </row>
    <row r="300" spans="2:3" ht="13.5" customHeight="1" x14ac:dyDescent="0.3">
      <c r="B300" s="7"/>
      <c r="C300" s="8"/>
    </row>
    <row r="301" spans="2:3" ht="13.5" customHeight="1" x14ac:dyDescent="0.3">
      <c r="B301" s="7"/>
      <c r="C301" s="8"/>
    </row>
    <row r="302" spans="2:3" ht="13.5" customHeight="1" x14ac:dyDescent="0.3">
      <c r="B302" s="7"/>
      <c r="C302" s="8"/>
    </row>
    <row r="303" spans="2:3" ht="13.5" customHeight="1" x14ac:dyDescent="0.3">
      <c r="B303" s="7"/>
      <c r="C303" s="8"/>
    </row>
    <row r="304" spans="2:3" ht="13.5" customHeight="1" x14ac:dyDescent="0.3">
      <c r="B304" s="7"/>
      <c r="C304" s="8"/>
    </row>
    <row r="305" spans="2:3" ht="13.5" customHeight="1" x14ac:dyDescent="0.3">
      <c r="B305" s="7"/>
      <c r="C305" s="8"/>
    </row>
    <row r="306" spans="2:3" ht="13.5" customHeight="1" x14ac:dyDescent="0.3">
      <c r="B306" s="7"/>
      <c r="C306" s="8"/>
    </row>
    <row r="307" spans="2:3" ht="13.5" customHeight="1" x14ac:dyDescent="0.3">
      <c r="B307" s="7"/>
      <c r="C307" s="8"/>
    </row>
    <row r="308" spans="2:3" ht="13.5" customHeight="1" x14ac:dyDescent="0.3">
      <c r="B308" s="7"/>
      <c r="C308" s="8"/>
    </row>
    <row r="309" spans="2:3" ht="13.5" customHeight="1" x14ac:dyDescent="0.3">
      <c r="B309" s="7"/>
      <c r="C309" s="8"/>
    </row>
    <row r="310" spans="2:3" ht="13.5" customHeight="1" x14ac:dyDescent="0.3">
      <c r="B310" s="7"/>
      <c r="C310" s="8"/>
    </row>
    <row r="311" spans="2:3" ht="13.5" customHeight="1" x14ac:dyDescent="0.3">
      <c r="B311" s="7"/>
      <c r="C311" s="8"/>
    </row>
    <row r="312" spans="2:3" ht="13.5" customHeight="1" x14ac:dyDescent="0.3">
      <c r="B312" s="7"/>
      <c r="C312" s="8"/>
    </row>
    <row r="313" spans="2:3" ht="13.5" customHeight="1" x14ac:dyDescent="0.3">
      <c r="B313" s="7"/>
      <c r="C313" s="8"/>
    </row>
    <row r="314" spans="2:3" ht="13.5" customHeight="1" x14ac:dyDescent="0.3">
      <c r="B314" s="7"/>
      <c r="C314" s="8"/>
    </row>
    <row r="315" spans="2:3" ht="13.5" customHeight="1" x14ac:dyDescent="0.3">
      <c r="B315" s="7"/>
      <c r="C315" s="8"/>
    </row>
    <row r="316" spans="2:3" ht="13.5" customHeight="1" x14ac:dyDescent="0.3">
      <c r="B316" s="7"/>
      <c r="C316" s="8"/>
    </row>
    <row r="317" spans="2:3" ht="13.5" customHeight="1" x14ac:dyDescent="0.3">
      <c r="B317" s="7"/>
      <c r="C317" s="8"/>
    </row>
    <row r="318" spans="2:3" ht="13.5" customHeight="1" x14ac:dyDescent="0.3">
      <c r="B318" s="7"/>
      <c r="C318" s="8"/>
    </row>
    <row r="319" spans="2:3" ht="13.5" customHeight="1" x14ac:dyDescent="0.3">
      <c r="B319" s="7"/>
      <c r="C319" s="8"/>
    </row>
    <row r="320" spans="2:3" ht="13.5" customHeight="1" x14ac:dyDescent="0.3">
      <c r="B320" s="7"/>
      <c r="C320" s="8"/>
    </row>
    <row r="321" spans="2:3" ht="13.5" customHeight="1" x14ac:dyDescent="0.3">
      <c r="B321" s="7"/>
      <c r="C321" s="8"/>
    </row>
    <row r="322" spans="2:3" ht="13.5" customHeight="1" x14ac:dyDescent="0.3">
      <c r="B322" s="7"/>
      <c r="C322" s="8"/>
    </row>
    <row r="323" spans="2:3" ht="13.5" customHeight="1" x14ac:dyDescent="0.3">
      <c r="B323" s="7"/>
      <c r="C323" s="8"/>
    </row>
    <row r="324" spans="2:3" ht="13.5" customHeight="1" x14ac:dyDescent="0.3">
      <c r="B324" s="7"/>
      <c r="C324" s="8"/>
    </row>
    <row r="325" spans="2:3" ht="13.5" customHeight="1" x14ac:dyDescent="0.3">
      <c r="B325" s="7"/>
      <c r="C325" s="8"/>
    </row>
    <row r="326" spans="2:3" ht="13.5" customHeight="1" x14ac:dyDescent="0.3">
      <c r="B326" s="7"/>
      <c r="C326" s="8"/>
    </row>
    <row r="327" spans="2:3" ht="13.5" customHeight="1" x14ac:dyDescent="0.3">
      <c r="B327" s="7"/>
      <c r="C327" s="8"/>
    </row>
    <row r="328" spans="2:3" ht="13.5" customHeight="1" x14ac:dyDescent="0.3">
      <c r="B328" s="7"/>
      <c r="C328" s="8"/>
    </row>
    <row r="329" spans="2:3" ht="13.5" customHeight="1" x14ac:dyDescent="0.3">
      <c r="B329" s="7"/>
      <c r="C329" s="8"/>
    </row>
    <row r="330" spans="2:3" ht="13.5" customHeight="1" x14ac:dyDescent="0.3">
      <c r="B330" s="7"/>
      <c r="C330" s="8"/>
    </row>
    <row r="331" spans="2:3" ht="13.5" customHeight="1" x14ac:dyDescent="0.3">
      <c r="B331" s="7"/>
      <c r="C331" s="8"/>
    </row>
    <row r="332" spans="2:3" ht="13.5" customHeight="1" x14ac:dyDescent="0.3">
      <c r="B332" s="7"/>
      <c r="C332" s="8"/>
    </row>
    <row r="333" spans="2:3" ht="13.5" customHeight="1" x14ac:dyDescent="0.3">
      <c r="B333" s="7"/>
      <c r="C333" s="8"/>
    </row>
    <row r="334" spans="2:3" ht="13.5" customHeight="1" x14ac:dyDescent="0.3">
      <c r="B334" s="7"/>
      <c r="C334" s="8"/>
    </row>
    <row r="335" spans="2:3" ht="13.5" customHeight="1" x14ac:dyDescent="0.3">
      <c r="B335" s="7"/>
      <c r="C335" s="8"/>
    </row>
    <row r="336" spans="2:3" ht="13.5" customHeight="1" x14ac:dyDescent="0.3">
      <c r="B336" s="7"/>
      <c r="C336" s="8"/>
    </row>
    <row r="337" spans="2:3" ht="13.5" customHeight="1" x14ac:dyDescent="0.3">
      <c r="B337" s="7"/>
      <c r="C337" s="8"/>
    </row>
    <row r="338" spans="2:3" ht="13.5" customHeight="1" x14ac:dyDescent="0.3">
      <c r="B338" s="7"/>
      <c r="C338" s="8"/>
    </row>
    <row r="339" spans="2:3" ht="13.5" customHeight="1" x14ac:dyDescent="0.3">
      <c r="B339" s="7"/>
      <c r="C339" s="8"/>
    </row>
    <row r="340" spans="2:3" ht="13.5" customHeight="1" x14ac:dyDescent="0.3">
      <c r="B340" s="7"/>
      <c r="C340" s="8"/>
    </row>
    <row r="341" spans="2:3" ht="13.5" customHeight="1" x14ac:dyDescent="0.3">
      <c r="B341" s="7"/>
      <c r="C341" s="8"/>
    </row>
    <row r="342" spans="2:3" ht="13.5" customHeight="1" x14ac:dyDescent="0.3">
      <c r="B342" s="7"/>
      <c r="C342" s="8"/>
    </row>
    <row r="343" spans="2:3" ht="13.5" customHeight="1" x14ac:dyDescent="0.3">
      <c r="B343" s="7"/>
      <c r="C343" s="8"/>
    </row>
    <row r="344" spans="2:3" ht="13.5" customHeight="1" x14ac:dyDescent="0.3">
      <c r="B344" s="7"/>
      <c r="C344" s="8"/>
    </row>
    <row r="345" spans="2:3" ht="13.5" customHeight="1" x14ac:dyDescent="0.3">
      <c r="B345" s="7"/>
      <c r="C345" s="8"/>
    </row>
    <row r="346" spans="2:3" ht="13.5" customHeight="1" x14ac:dyDescent="0.3">
      <c r="B346" s="7"/>
      <c r="C346" s="8"/>
    </row>
    <row r="347" spans="2:3" ht="13.5" customHeight="1" x14ac:dyDescent="0.3">
      <c r="B347" s="7"/>
      <c r="C347" s="8"/>
    </row>
    <row r="348" spans="2:3" ht="13.5" customHeight="1" x14ac:dyDescent="0.3">
      <c r="B348" s="7"/>
      <c r="C348" s="8"/>
    </row>
    <row r="349" spans="2:3" ht="13.5" customHeight="1" x14ac:dyDescent="0.3">
      <c r="B349" s="7"/>
      <c r="C349" s="8"/>
    </row>
    <row r="350" spans="2:3" ht="13.5" customHeight="1" x14ac:dyDescent="0.3">
      <c r="B350" s="7"/>
      <c r="C350" s="8"/>
    </row>
    <row r="351" spans="2:3" ht="13.5" customHeight="1" x14ac:dyDescent="0.3">
      <c r="B351" s="7"/>
      <c r="C351" s="8"/>
    </row>
    <row r="352" spans="2:3" ht="13.5" customHeight="1" x14ac:dyDescent="0.3">
      <c r="B352" s="7"/>
      <c r="C352" s="8"/>
    </row>
    <row r="353" spans="2:3" ht="13.5" customHeight="1" x14ac:dyDescent="0.3">
      <c r="B353" s="7"/>
      <c r="C353" s="8"/>
    </row>
    <row r="354" spans="2:3" ht="13.5" customHeight="1" x14ac:dyDescent="0.3">
      <c r="B354" s="7"/>
      <c r="C354" s="8"/>
    </row>
    <row r="355" spans="2:3" ht="13.5" customHeight="1" x14ac:dyDescent="0.3">
      <c r="B355" s="7"/>
      <c r="C355" s="8"/>
    </row>
    <row r="356" spans="2:3" ht="13.5" customHeight="1" x14ac:dyDescent="0.3">
      <c r="B356" s="7"/>
      <c r="C356" s="8"/>
    </row>
    <row r="357" spans="2:3" ht="13.5" customHeight="1" x14ac:dyDescent="0.3">
      <c r="B357" s="7"/>
      <c r="C357" s="8"/>
    </row>
    <row r="358" spans="2:3" ht="13.5" customHeight="1" x14ac:dyDescent="0.3">
      <c r="B358" s="7"/>
      <c r="C358" s="8"/>
    </row>
    <row r="359" spans="2:3" ht="13.5" customHeight="1" x14ac:dyDescent="0.3">
      <c r="B359" s="7"/>
      <c r="C359" s="8"/>
    </row>
    <row r="360" spans="2:3" ht="13.5" customHeight="1" x14ac:dyDescent="0.3">
      <c r="B360" s="7"/>
      <c r="C360" s="8"/>
    </row>
    <row r="361" spans="2:3" ht="13.5" customHeight="1" x14ac:dyDescent="0.3">
      <c r="B361" s="7"/>
      <c r="C361" s="8"/>
    </row>
    <row r="362" spans="2:3" ht="13.5" customHeight="1" x14ac:dyDescent="0.3">
      <c r="B362" s="7"/>
      <c r="C362" s="8"/>
    </row>
    <row r="363" spans="2:3" ht="13.5" customHeight="1" x14ac:dyDescent="0.3">
      <c r="B363" s="7"/>
      <c r="C363" s="8"/>
    </row>
    <row r="364" spans="2:3" ht="13.5" customHeight="1" x14ac:dyDescent="0.3">
      <c r="B364" s="7"/>
      <c r="C364" s="8"/>
    </row>
    <row r="365" spans="2:3" ht="13.5" customHeight="1" x14ac:dyDescent="0.3">
      <c r="B365" s="7"/>
      <c r="C365" s="8"/>
    </row>
    <row r="366" spans="2:3" ht="13.5" customHeight="1" x14ac:dyDescent="0.3">
      <c r="B366" s="7"/>
      <c r="C366" s="8"/>
    </row>
    <row r="367" spans="2:3" ht="13.5" customHeight="1" x14ac:dyDescent="0.3">
      <c r="B367" s="7"/>
      <c r="C367" s="8"/>
    </row>
    <row r="368" spans="2:3" ht="13.5" customHeight="1" x14ac:dyDescent="0.3">
      <c r="B368" s="7"/>
      <c r="C368" s="8"/>
    </row>
    <row r="369" spans="2:3" ht="13.5" customHeight="1" x14ac:dyDescent="0.3">
      <c r="B369" s="7"/>
      <c r="C369" s="8"/>
    </row>
    <row r="370" spans="2:3" ht="13.5" customHeight="1" x14ac:dyDescent="0.3">
      <c r="B370" s="7"/>
      <c r="C370" s="8"/>
    </row>
    <row r="371" spans="2:3" ht="13.5" customHeight="1" x14ac:dyDescent="0.3">
      <c r="B371" s="7"/>
      <c r="C371" s="8"/>
    </row>
    <row r="372" spans="2:3" ht="13.5" customHeight="1" x14ac:dyDescent="0.3">
      <c r="B372" s="7"/>
      <c r="C372" s="8"/>
    </row>
    <row r="373" spans="2:3" ht="13.5" customHeight="1" x14ac:dyDescent="0.3">
      <c r="B373" s="7"/>
      <c r="C373" s="8"/>
    </row>
    <row r="374" spans="2:3" ht="13.5" customHeight="1" x14ac:dyDescent="0.3">
      <c r="B374" s="7"/>
      <c r="C374" s="8"/>
    </row>
    <row r="375" spans="2:3" ht="13.5" customHeight="1" x14ac:dyDescent="0.3">
      <c r="B375" s="7"/>
      <c r="C375" s="8"/>
    </row>
    <row r="376" spans="2:3" ht="13.5" customHeight="1" x14ac:dyDescent="0.3">
      <c r="B376" s="7"/>
      <c r="C376" s="8"/>
    </row>
    <row r="377" spans="2:3" ht="13.5" customHeight="1" x14ac:dyDescent="0.3">
      <c r="B377" s="7"/>
      <c r="C377" s="8"/>
    </row>
    <row r="378" spans="2:3" ht="13.5" customHeight="1" x14ac:dyDescent="0.3">
      <c r="B378" s="7"/>
      <c r="C378" s="8"/>
    </row>
    <row r="379" spans="2:3" ht="13.5" customHeight="1" x14ac:dyDescent="0.3">
      <c r="B379" s="7"/>
      <c r="C379" s="8"/>
    </row>
    <row r="380" spans="2:3" ht="13.5" customHeight="1" x14ac:dyDescent="0.3">
      <c r="B380" s="7"/>
      <c r="C380" s="8"/>
    </row>
    <row r="381" spans="2:3" ht="13.5" customHeight="1" x14ac:dyDescent="0.3">
      <c r="B381" s="7"/>
      <c r="C381" s="8"/>
    </row>
    <row r="382" spans="2:3" ht="13.5" customHeight="1" x14ac:dyDescent="0.3">
      <c r="B382" s="7"/>
      <c r="C382" s="8"/>
    </row>
    <row r="383" spans="2:3" ht="13.5" customHeight="1" x14ac:dyDescent="0.3">
      <c r="B383" s="7"/>
      <c r="C383" s="8"/>
    </row>
    <row r="384" spans="2:3" ht="13.5" customHeight="1" x14ac:dyDescent="0.3">
      <c r="B384" s="7"/>
      <c r="C384" s="8"/>
    </row>
    <row r="385" spans="2:3" ht="13.5" customHeight="1" x14ac:dyDescent="0.3">
      <c r="B385" s="7"/>
      <c r="C385" s="8"/>
    </row>
    <row r="386" spans="2:3" ht="13.5" customHeight="1" x14ac:dyDescent="0.3">
      <c r="B386" s="7"/>
      <c r="C386" s="8"/>
    </row>
    <row r="387" spans="2:3" ht="13.5" customHeight="1" x14ac:dyDescent="0.3">
      <c r="B387" s="7"/>
      <c r="C387" s="8"/>
    </row>
    <row r="388" spans="2:3" ht="13.5" customHeight="1" x14ac:dyDescent="0.3">
      <c r="B388" s="7"/>
      <c r="C388" s="8"/>
    </row>
    <row r="389" spans="2:3" ht="13.5" customHeight="1" x14ac:dyDescent="0.3">
      <c r="B389" s="7"/>
      <c r="C389" s="8"/>
    </row>
    <row r="390" spans="2:3" ht="13.5" customHeight="1" x14ac:dyDescent="0.3">
      <c r="B390" s="7"/>
      <c r="C390" s="8"/>
    </row>
    <row r="391" spans="2:3" ht="13.5" customHeight="1" x14ac:dyDescent="0.3">
      <c r="B391" s="7"/>
      <c r="C391" s="8"/>
    </row>
    <row r="392" spans="2:3" ht="13.5" customHeight="1" x14ac:dyDescent="0.3">
      <c r="B392" s="7"/>
      <c r="C392" s="8"/>
    </row>
    <row r="393" spans="2:3" ht="13.5" customHeight="1" x14ac:dyDescent="0.3">
      <c r="B393" s="7"/>
      <c r="C393" s="8"/>
    </row>
    <row r="394" spans="2:3" ht="13.5" customHeight="1" x14ac:dyDescent="0.3">
      <c r="B394" s="7"/>
      <c r="C394" s="8"/>
    </row>
    <row r="395" spans="2:3" ht="13.5" customHeight="1" x14ac:dyDescent="0.3">
      <c r="B395" s="7"/>
      <c r="C395" s="8"/>
    </row>
    <row r="396" spans="2:3" ht="13.5" customHeight="1" x14ac:dyDescent="0.3">
      <c r="B396" s="7"/>
      <c r="C396" s="8"/>
    </row>
    <row r="397" spans="2:3" ht="13.5" customHeight="1" x14ac:dyDescent="0.3">
      <c r="B397" s="7"/>
      <c r="C397" s="8"/>
    </row>
    <row r="398" spans="2:3" ht="13.5" customHeight="1" x14ac:dyDescent="0.3">
      <c r="B398" s="7"/>
      <c r="C398" s="8"/>
    </row>
    <row r="399" spans="2:3" ht="13.5" customHeight="1" x14ac:dyDescent="0.3">
      <c r="B399" s="7"/>
      <c r="C399" s="8"/>
    </row>
    <row r="400" spans="2:3" ht="13.5" customHeight="1" x14ac:dyDescent="0.3">
      <c r="B400" s="7"/>
      <c r="C400" s="8"/>
    </row>
    <row r="401" spans="2:3" ht="13.5" customHeight="1" x14ac:dyDescent="0.3">
      <c r="B401" s="7"/>
      <c r="C401" s="8"/>
    </row>
    <row r="402" spans="2:3" ht="13.5" customHeight="1" x14ac:dyDescent="0.3">
      <c r="B402" s="7"/>
      <c r="C402" s="8"/>
    </row>
    <row r="403" spans="2:3" ht="13.5" customHeight="1" x14ac:dyDescent="0.3">
      <c r="B403" s="7"/>
      <c r="C403" s="8"/>
    </row>
    <row r="404" spans="2:3" ht="13.5" customHeight="1" x14ac:dyDescent="0.3">
      <c r="B404" s="7"/>
      <c r="C404" s="8"/>
    </row>
    <row r="405" spans="2:3" ht="13.5" customHeight="1" x14ac:dyDescent="0.3">
      <c r="B405" s="7"/>
      <c r="C405" s="8"/>
    </row>
    <row r="406" spans="2:3" ht="13.5" customHeight="1" x14ac:dyDescent="0.3">
      <c r="B406" s="7"/>
      <c r="C406" s="8"/>
    </row>
    <row r="407" spans="2:3" ht="13.5" customHeight="1" x14ac:dyDescent="0.3">
      <c r="B407" s="7"/>
      <c r="C407" s="8"/>
    </row>
    <row r="408" spans="2:3" ht="13.5" customHeight="1" x14ac:dyDescent="0.3">
      <c r="B408" s="7"/>
      <c r="C408" s="8"/>
    </row>
    <row r="409" spans="2:3" ht="13.5" customHeight="1" x14ac:dyDescent="0.3">
      <c r="B409" s="7"/>
      <c r="C409" s="8"/>
    </row>
    <row r="410" spans="2:3" ht="13.5" customHeight="1" x14ac:dyDescent="0.3">
      <c r="B410" s="7"/>
      <c r="C410" s="8"/>
    </row>
    <row r="411" spans="2:3" ht="13.5" customHeight="1" x14ac:dyDescent="0.3">
      <c r="B411" s="7"/>
      <c r="C411" s="8"/>
    </row>
    <row r="412" spans="2:3" ht="13.5" customHeight="1" x14ac:dyDescent="0.3">
      <c r="B412" s="7"/>
      <c r="C412" s="8"/>
    </row>
    <row r="413" spans="2:3" ht="13.5" customHeight="1" x14ac:dyDescent="0.3">
      <c r="B413" s="7"/>
      <c r="C413" s="8"/>
    </row>
    <row r="414" spans="2:3" ht="13.5" customHeight="1" x14ac:dyDescent="0.3">
      <c r="B414" s="7"/>
      <c r="C414" s="8"/>
    </row>
    <row r="415" spans="2:3" ht="13.5" customHeight="1" x14ac:dyDescent="0.3">
      <c r="B415" s="7"/>
      <c r="C415" s="8"/>
    </row>
    <row r="416" spans="2:3" ht="13.5" customHeight="1" x14ac:dyDescent="0.3">
      <c r="B416" s="7"/>
      <c r="C416" s="8"/>
    </row>
    <row r="417" spans="2:3" ht="13.5" customHeight="1" x14ac:dyDescent="0.3">
      <c r="B417" s="7"/>
      <c r="C417" s="8"/>
    </row>
    <row r="418" spans="2:3" ht="13.5" customHeight="1" x14ac:dyDescent="0.3">
      <c r="B418" s="7"/>
      <c r="C418" s="8"/>
    </row>
    <row r="419" spans="2:3" ht="13.5" customHeight="1" x14ac:dyDescent="0.3">
      <c r="B419" s="7"/>
      <c r="C419" s="8"/>
    </row>
    <row r="420" spans="2:3" ht="13.5" customHeight="1" x14ac:dyDescent="0.3">
      <c r="B420" s="7"/>
      <c r="C420" s="8"/>
    </row>
    <row r="421" spans="2:3" ht="13.5" customHeight="1" x14ac:dyDescent="0.3">
      <c r="B421" s="7"/>
      <c r="C421" s="8"/>
    </row>
    <row r="422" spans="2:3" ht="13.5" customHeight="1" x14ac:dyDescent="0.3">
      <c r="B422" s="7"/>
      <c r="C422" s="8"/>
    </row>
    <row r="423" spans="2:3" ht="13.5" customHeight="1" x14ac:dyDescent="0.3">
      <c r="B423" s="7"/>
      <c r="C423" s="8"/>
    </row>
    <row r="424" spans="2:3" ht="13.5" customHeight="1" x14ac:dyDescent="0.3">
      <c r="B424" s="7"/>
      <c r="C424" s="8"/>
    </row>
    <row r="425" spans="2:3" ht="13.5" customHeight="1" x14ac:dyDescent="0.3">
      <c r="B425" s="7"/>
      <c r="C425" s="8"/>
    </row>
    <row r="426" spans="2:3" ht="13.5" customHeight="1" x14ac:dyDescent="0.3">
      <c r="B426" s="7"/>
      <c r="C426" s="8"/>
    </row>
    <row r="427" spans="2:3" ht="13.5" customHeight="1" x14ac:dyDescent="0.3">
      <c r="B427" s="7"/>
      <c r="C427" s="8"/>
    </row>
    <row r="428" spans="2:3" ht="13.5" customHeight="1" x14ac:dyDescent="0.3">
      <c r="B428" s="7"/>
      <c r="C428" s="8"/>
    </row>
    <row r="429" spans="2:3" ht="13.5" customHeight="1" x14ac:dyDescent="0.3">
      <c r="B429" s="7"/>
      <c r="C429" s="8"/>
    </row>
    <row r="430" spans="2:3" ht="13.5" customHeight="1" x14ac:dyDescent="0.3">
      <c r="B430" s="7"/>
      <c r="C430" s="8"/>
    </row>
    <row r="431" spans="2:3" ht="13.5" customHeight="1" x14ac:dyDescent="0.3">
      <c r="B431" s="7"/>
      <c r="C431" s="8"/>
    </row>
    <row r="432" spans="2:3" ht="13.5" customHeight="1" x14ac:dyDescent="0.3">
      <c r="B432" s="7"/>
      <c r="C432" s="8"/>
    </row>
    <row r="433" spans="2:3" ht="13.5" customHeight="1" x14ac:dyDescent="0.3">
      <c r="B433" s="7"/>
      <c r="C433" s="8"/>
    </row>
    <row r="434" spans="2:3" ht="13.5" customHeight="1" x14ac:dyDescent="0.3">
      <c r="B434" s="7"/>
      <c r="C434" s="8"/>
    </row>
    <row r="435" spans="2:3" ht="13.5" customHeight="1" x14ac:dyDescent="0.3">
      <c r="B435" s="7"/>
      <c r="C435" s="8"/>
    </row>
    <row r="436" spans="2:3" ht="13.5" customHeight="1" x14ac:dyDescent="0.3">
      <c r="B436" s="7"/>
      <c r="C436" s="8"/>
    </row>
    <row r="437" spans="2:3" ht="13.5" customHeight="1" x14ac:dyDescent="0.3">
      <c r="B437" s="7"/>
      <c r="C437" s="8"/>
    </row>
    <row r="438" spans="2:3" ht="13.5" customHeight="1" x14ac:dyDescent="0.3">
      <c r="B438" s="7"/>
      <c r="C438" s="8"/>
    </row>
    <row r="439" spans="2:3" ht="13.5" customHeight="1" x14ac:dyDescent="0.3">
      <c r="B439" s="7"/>
      <c r="C439" s="8"/>
    </row>
    <row r="440" spans="2:3" ht="13.5" customHeight="1" x14ac:dyDescent="0.3">
      <c r="B440" s="7"/>
      <c r="C440" s="8"/>
    </row>
    <row r="441" spans="2:3" ht="13.5" customHeight="1" x14ac:dyDescent="0.3">
      <c r="B441" s="7"/>
      <c r="C441" s="8"/>
    </row>
    <row r="442" spans="2:3" ht="13.5" customHeight="1" x14ac:dyDescent="0.3">
      <c r="B442" s="7"/>
      <c r="C442" s="8"/>
    </row>
    <row r="443" spans="2:3" ht="13.5" customHeight="1" x14ac:dyDescent="0.3">
      <c r="B443" s="7"/>
      <c r="C443" s="8"/>
    </row>
    <row r="444" spans="2:3" ht="13.5" customHeight="1" x14ac:dyDescent="0.3">
      <c r="B444" s="7"/>
      <c r="C444" s="8"/>
    </row>
    <row r="445" spans="2:3" ht="13.5" customHeight="1" x14ac:dyDescent="0.3">
      <c r="B445" s="7"/>
      <c r="C445" s="8"/>
    </row>
    <row r="446" spans="2:3" ht="13.5" customHeight="1" x14ac:dyDescent="0.3">
      <c r="B446" s="7"/>
      <c r="C446" s="8"/>
    </row>
    <row r="447" spans="2:3" ht="13.5" customHeight="1" x14ac:dyDescent="0.3">
      <c r="B447" s="7"/>
      <c r="C447" s="8"/>
    </row>
    <row r="448" spans="2:3" ht="13.5" customHeight="1" x14ac:dyDescent="0.3">
      <c r="B448" s="7"/>
      <c r="C448" s="8"/>
    </row>
    <row r="449" spans="2:3" ht="13.5" customHeight="1" x14ac:dyDescent="0.3">
      <c r="B449" s="7"/>
      <c r="C449" s="8"/>
    </row>
    <row r="450" spans="2:3" ht="13.5" customHeight="1" x14ac:dyDescent="0.3">
      <c r="B450" s="7"/>
      <c r="C450" s="8"/>
    </row>
    <row r="451" spans="2:3" ht="13.5" customHeight="1" x14ac:dyDescent="0.3">
      <c r="B451" s="7"/>
      <c r="C451" s="8"/>
    </row>
    <row r="452" spans="2:3" ht="13.5" customHeight="1" x14ac:dyDescent="0.3">
      <c r="B452" s="7"/>
      <c r="C452" s="8"/>
    </row>
    <row r="453" spans="2:3" ht="13.5" customHeight="1" x14ac:dyDescent="0.3">
      <c r="B453" s="7"/>
      <c r="C453" s="8"/>
    </row>
    <row r="454" spans="2:3" ht="13.5" customHeight="1" x14ac:dyDescent="0.3">
      <c r="B454" s="7"/>
      <c r="C454" s="8"/>
    </row>
    <row r="455" spans="2:3" ht="13.5" customHeight="1" x14ac:dyDescent="0.3">
      <c r="B455" s="7"/>
      <c r="C455" s="8"/>
    </row>
    <row r="456" spans="2:3" ht="13.5" customHeight="1" x14ac:dyDescent="0.3">
      <c r="B456" s="7"/>
      <c r="C456" s="8"/>
    </row>
    <row r="457" spans="2:3" ht="13.5" customHeight="1" x14ac:dyDescent="0.3">
      <c r="B457" s="7"/>
      <c r="C457" s="8"/>
    </row>
    <row r="458" spans="2:3" ht="13.5" customHeight="1" x14ac:dyDescent="0.3">
      <c r="B458" s="7"/>
      <c r="C458" s="8"/>
    </row>
    <row r="459" spans="2:3" ht="13.5" customHeight="1" x14ac:dyDescent="0.3">
      <c r="B459" s="7"/>
      <c r="C459" s="8"/>
    </row>
    <row r="460" spans="2:3" ht="13.5" customHeight="1" x14ac:dyDescent="0.3">
      <c r="B460" s="7"/>
      <c r="C460" s="8"/>
    </row>
    <row r="461" spans="2:3" ht="13.5" customHeight="1" x14ac:dyDescent="0.3">
      <c r="B461" s="7"/>
      <c r="C461" s="8"/>
    </row>
    <row r="462" spans="2:3" ht="13.5" customHeight="1" x14ac:dyDescent="0.3">
      <c r="B462" s="7"/>
      <c r="C462" s="8"/>
    </row>
    <row r="463" spans="2:3" ht="13.5" customHeight="1" x14ac:dyDescent="0.3">
      <c r="B463" s="7"/>
      <c r="C463" s="8"/>
    </row>
    <row r="464" spans="2:3" ht="13.5" customHeight="1" x14ac:dyDescent="0.3">
      <c r="B464" s="7"/>
      <c r="C464" s="8"/>
    </row>
    <row r="465" spans="2:3" ht="13.5" customHeight="1" x14ac:dyDescent="0.3">
      <c r="B465" s="7"/>
      <c r="C465" s="8"/>
    </row>
    <row r="466" spans="2:3" ht="13.5" customHeight="1" x14ac:dyDescent="0.3">
      <c r="B466" s="7"/>
      <c r="C466" s="8"/>
    </row>
    <row r="467" spans="2:3" ht="13.5" customHeight="1" x14ac:dyDescent="0.3">
      <c r="B467" s="7"/>
      <c r="C467" s="8"/>
    </row>
    <row r="468" spans="2:3" ht="13.5" customHeight="1" x14ac:dyDescent="0.3">
      <c r="B468" s="7"/>
      <c r="C468" s="8"/>
    </row>
    <row r="469" spans="2:3" ht="13.5" customHeight="1" x14ac:dyDescent="0.3">
      <c r="B469" s="7"/>
      <c r="C469" s="8"/>
    </row>
    <row r="470" spans="2:3" ht="13.5" customHeight="1" x14ac:dyDescent="0.3">
      <c r="B470" s="7"/>
      <c r="C470" s="8"/>
    </row>
    <row r="471" spans="2:3" ht="13.5" customHeight="1" x14ac:dyDescent="0.3">
      <c r="B471" s="7"/>
      <c r="C471" s="8"/>
    </row>
    <row r="472" spans="2:3" ht="13.5" customHeight="1" x14ac:dyDescent="0.3">
      <c r="B472" s="7"/>
      <c r="C472" s="8"/>
    </row>
    <row r="473" spans="2:3" ht="13.5" customHeight="1" x14ac:dyDescent="0.3">
      <c r="B473" s="7"/>
      <c r="C473" s="8"/>
    </row>
    <row r="474" spans="2:3" ht="13.5" customHeight="1" x14ac:dyDescent="0.3">
      <c r="B474" s="7"/>
      <c r="C474" s="8"/>
    </row>
    <row r="475" spans="2:3" ht="13.5" customHeight="1" x14ac:dyDescent="0.3">
      <c r="B475" s="7"/>
      <c r="C475" s="8"/>
    </row>
    <row r="476" spans="2:3" ht="13.5" customHeight="1" x14ac:dyDescent="0.3">
      <c r="B476" s="7"/>
      <c r="C476" s="8"/>
    </row>
    <row r="477" spans="2:3" ht="13.5" customHeight="1" x14ac:dyDescent="0.3">
      <c r="B477" s="7"/>
      <c r="C477" s="8"/>
    </row>
    <row r="478" spans="2:3" ht="13.5" customHeight="1" x14ac:dyDescent="0.3">
      <c r="B478" s="7"/>
      <c r="C478" s="8"/>
    </row>
    <row r="479" spans="2:3" ht="13.5" customHeight="1" x14ac:dyDescent="0.3">
      <c r="B479" s="7"/>
      <c r="C479" s="8"/>
    </row>
    <row r="480" spans="2:3" ht="13.5" customHeight="1" x14ac:dyDescent="0.3">
      <c r="B480" s="7"/>
      <c r="C480" s="8"/>
    </row>
    <row r="481" spans="2:3" ht="13.5" customHeight="1" x14ac:dyDescent="0.3">
      <c r="B481" s="7"/>
      <c r="C481" s="8"/>
    </row>
    <row r="482" spans="2:3" ht="13.5" customHeight="1" x14ac:dyDescent="0.3">
      <c r="B482" s="7"/>
      <c r="C482" s="8"/>
    </row>
    <row r="483" spans="2:3" ht="13.5" customHeight="1" x14ac:dyDescent="0.3">
      <c r="B483" s="7"/>
      <c r="C483" s="8"/>
    </row>
    <row r="484" spans="2:3" ht="13.5" customHeight="1" x14ac:dyDescent="0.3">
      <c r="B484" s="7"/>
      <c r="C484" s="8"/>
    </row>
    <row r="485" spans="2:3" ht="13.5" customHeight="1" x14ac:dyDescent="0.3">
      <c r="B485" s="7"/>
      <c r="C485" s="8"/>
    </row>
    <row r="486" spans="2:3" ht="13.5" customHeight="1" x14ac:dyDescent="0.3">
      <c r="B486" s="7"/>
      <c r="C486" s="8"/>
    </row>
    <row r="487" spans="2:3" ht="13.5" customHeight="1" x14ac:dyDescent="0.3">
      <c r="B487" s="7"/>
      <c r="C487" s="8"/>
    </row>
    <row r="488" spans="2:3" ht="13.5" customHeight="1" x14ac:dyDescent="0.3">
      <c r="B488" s="7"/>
      <c r="C488" s="8"/>
    </row>
    <row r="489" spans="2:3" ht="13.5" customHeight="1" x14ac:dyDescent="0.3">
      <c r="B489" s="7"/>
      <c r="C489" s="8"/>
    </row>
    <row r="490" spans="2:3" ht="13.5" customHeight="1" x14ac:dyDescent="0.3">
      <c r="B490" s="7"/>
      <c r="C490" s="8"/>
    </row>
    <row r="491" spans="2:3" ht="13.5" customHeight="1" x14ac:dyDescent="0.3">
      <c r="B491" s="7"/>
      <c r="C491" s="8"/>
    </row>
    <row r="492" spans="2:3" ht="13.5" customHeight="1" x14ac:dyDescent="0.3">
      <c r="B492" s="7"/>
      <c r="C492" s="8"/>
    </row>
    <row r="493" spans="2:3" ht="13.5" customHeight="1" x14ac:dyDescent="0.3">
      <c r="B493" s="7"/>
      <c r="C493" s="8"/>
    </row>
    <row r="494" spans="2:3" ht="13.5" customHeight="1" x14ac:dyDescent="0.3">
      <c r="B494" s="7"/>
      <c r="C494" s="8"/>
    </row>
    <row r="495" spans="2:3" ht="13.5" customHeight="1" x14ac:dyDescent="0.3">
      <c r="B495" s="7"/>
      <c r="C495" s="8"/>
    </row>
    <row r="496" spans="2:3" ht="13.5" customHeight="1" x14ac:dyDescent="0.3">
      <c r="B496" s="7"/>
      <c r="C496" s="8"/>
    </row>
    <row r="497" spans="2:3" ht="13.5" customHeight="1" x14ac:dyDescent="0.3">
      <c r="B497" s="7"/>
      <c r="C497" s="8"/>
    </row>
    <row r="498" spans="2:3" ht="13.5" customHeight="1" x14ac:dyDescent="0.3">
      <c r="B498" s="7"/>
      <c r="C498" s="8"/>
    </row>
    <row r="499" spans="2:3" ht="13.5" customHeight="1" x14ac:dyDescent="0.3">
      <c r="B499" s="7"/>
      <c r="C499" s="8"/>
    </row>
    <row r="500" spans="2:3" ht="13.5" customHeight="1" x14ac:dyDescent="0.3">
      <c r="B500" s="7"/>
      <c r="C500" s="8"/>
    </row>
    <row r="501" spans="2:3" ht="13.5" customHeight="1" x14ac:dyDescent="0.3">
      <c r="B501" s="7"/>
      <c r="C501" s="8"/>
    </row>
    <row r="502" spans="2:3" ht="13.5" customHeight="1" x14ac:dyDescent="0.3">
      <c r="B502" s="7"/>
      <c r="C502" s="8"/>
    </row>
    <row r="503" spans="2:3" ht="13.5" customHeight="1" x14ac:dyDescent="0.3">
      <c r="B503" s="7"/>
      <c r="C503" s="8"/>
    </row>
    <row r="504" spans="2:3" ht="13.5" customHeight="1" x14ac:dyDescent="0.3">
      <c r="B504" s="7"/>
      <c r="C504" s="8"/>
    </row>
    <row r="505" spans="2:3" ht="13.5" customHeight="1" x14ac:dyDescent="0.3">
      <c r="B505" s="7"/>
      <c r="C505" s="8"/>
    </row>
    <row r="506" spans="2:3" ht="13.5" customHeight="1" x14ac:dyDescent="0.3">
      <c r="B506" s="7"/>
      <c r="C506" s="8"/>
    </row>
    <row r="507" spans="2:3" ht="13.5" customHeight="1" x14ac:dyDescent="0.3">
      <c r="B507" s="7"/>
      <c r="C507" s="8"/>
    </row>
    <row r="508" spans="2:3" ht="13.5" customHeight="1" x14ac:dyDescent="0.3">
      <c r="B508" s="7"/>
      <c r="C508" s="8"/>
    </row>
    <row r="509" spans="2:3" ht="13.5" customHeight="1" x14ac:dyDescent="0.3">
      <c r="B509" s="7"/>
      <c r="C509" s="8"/>
    </row>
    <row r="510" spans="2:3" ht="13.5" customHeight="1" x14ac:dyDescent="0.3">
      <c r="B510" s="7"/>
      <c r="C510" s="8"/>
    </row>
    <row r="511" spans="2:3" ht="13.5" customHeight="1" x14ac:dyDescent="0.3">
      <c r="B511" s="7"/>
      <c r="C511" s="8"/>
    </row>
    <row r="512" spans="2:3" ht="13.5" customHeight="1" x14ac:dyDescent="0.3">
      <c r="B512" s="7"/>
      <c r="C512" s="8"/>
    </row>
    <row r="513" spans="2:3" ht="13.5" customHeight="1" x14ac:dyDescent="0.3">
      <c r="B513" s="7"/>
      <c r="C513" s="8"/>
    </row>
    <row r="514" spans="2:3" ht="13.5" customHeight="1" x14ac:dyDescent="0.3">
      <c r="B514" s="7"/>
      <c r="C514" s="8"/>
    </row>
    <row r="515" spans="2:3" ht="13.5" customHeight="1" x14ac:dyDescent="0.3">
      <c r="B515" s="7"/>
      <c r="C515" s="8"/>
    </row>
    <row r="516" spans="2:3" ht="13.5" customHeight="1" x14ac:dyDescent="0.3">
      <c r="B516" s="7"/>
      <c r="C516" s="8"/>
    </row>
    <row r="517" spans="2:3" ht="13.5" customHeight="1" x14ac:dyDescent="0.3">
      <c r="B517" s="7"/>
      <c r="C517" s="8"/>
    </row>
    <row r="518" spans="2:3" ht="13.5" customHeight="1" x14ac:dyDescent="0.3">
      <c r="B518" s="7"/>
      <c r="C518" s="8"/>
    </row>
    <row r="519" spans="2:3" ht="13.5" customHeight="1" x14ac:dyDescent="0.3">
      <c r="B519" s="7"/>
      <c r="C519" s="8"/>
    </row>
    <row r="520" spans="2:3" ht="13.5" customHeight="1" x14ac:dyDescent="0.3">
      <c r="B520" s="7"/>
      <c r="C520" s="8"/>
    </row>
    <row r="521" spans="2:3" ht="13.5" customHeight="1" x14ac:dyDescent="0.3">
      <c r="B521" s="7"/>
      <c r="C521" s="8"/>
    </row>
    <row r="522" spans="2:3" ht="13.5" customHeight="1" x14ac:dyDescent="0.3">
      <c r="B522" s="7"/>
      <c r="C522" s="8"/>
    </row>
    <row r="523" spans="2:3" ht="13.5" customHeight="1" x14ac:dyDescent="0.3">
      <c r="B523" s="7"/>
      <c r="C523" s="8"/>
    </row>
    <row r="524" spans="2:3" ht="13.5" customHeight="1" x14ac:dyDescent="0.3">
      <c r="B524" s="7"/>
      <c r="C524" s="8"/>
    </row>
    <row r="525" spans="2:3" ht="13.5" customHeight="1" x14ac:dyDescent="0.3">
      <c r="B525" s="7"/>
      <c r="C525" s="8"/>
    </row>
    <row r="526" spans="2:3" ht="13.5" customHeight="1" x14ac:dyDescent="0.3">
      <c r="B526" s="7"/>
      <c r="C526" s="8"/>
    </row>
    <row r="527" spans="2:3" ht="13.5" customHeight="1" x14ac:dyDescent="0.3">
      <c r="B527" s="7"/>
      <c r="C527" s="8"/>
    </row>
    <row r="528" spans="2:3" ht="13.5" customHeight="1" x14ac:dyDescent="0.3">
      <c r="B528" s="7"/>
      <c r="C528" s="8"/>
    </row>
    <row r="529" spans="2:3" ht="13.5" customHeight="1" x14ac:dyDescent="0.3">
      <c r="B529" s="7"/>
      <c r="C529" s="8"/>
    </row>
    <row r="530" spans="2:3" ht="13.5" customHeight="1" x14ac:dyDescent="0.3">
      <c r="B530" s="7"/>
      <c r="C530" s="8"/>
    </row>
    <row r="531" spans="2:3" ht="13.5" customHeight="1" x14ac:dyDescent="0.3">
      <c r="B531" s="7"/>
      <c r="C531" s="8"/>
    </row>
    <row r="532" spans="2:3" ht="13.5" customHeight="1" x14ac:dyDescent="0.3">
      <c r="B532" s="7"/>
      <c r="C532" s="8"/>
    </row>
    <row r="533" spans="2:3" ht="13.5" customHeight="1" x14ac:dyDescent="0.3">
      <c r="B533" s="7"/>
      <c r="C533" s="8"/>
    </row>
    <row r="534" spans="2:3" ht="13.5" customHeight="1" x14ac:dyDescent="0.3">
      <c r="B534" s="7"/>
      <c r="C534" s="8"/>
    </row>
    <row r="535" spans="2:3" ht="13.5" customHeight="1" x14ac:dyDescent="0.3">
      <c r="B535" s="7"/>
      <c r="C535" s="8"/>
    </row>
    <row r="536" spans="2:3" ht="13.5" customHeight="1" x14ac:dyDescent="0.3">
      <c r="B536" s="7"/>
      <c r="C536" s="8"/>
    </row>
    <row r="537" spans="2:3" ht="13.5" customHeight="1" x14ac:dyDescent="0.3">
      <c r="B537" s="7"/>
      <c r="C537" s="8"/>
    </row>
    <row r="538" spans="2:3" ht="13.5" customHeight="1" x14ac:dyDescent="0.3">
      <c r="B538" s="7"/>
      <c r="C538" s="8"/>
    </row>
    <row r="539" spans="2:3" ht="13.5" customHeight="1" x14ac:dyDescent="0.3">
      <c r="B539" s="7"/>
      <c r="C539" s="8"/>
    </row>
    <row r="540" spans="2:3" ht="13.5" customHeight="1" x14ac:dyDescent="0.3">
      <c r="B540" s="7"/>
      <c r="C540" s="8"/>
    </row>
    <row r="541" spans="2:3" ht="13.5" customHeight="1" x14ac:dyDescent="0.3">
      <c r="B541" s="7"/>
      <c r="C541" s="8"/>
    </row>
    <row r="542" spans="2:3" ht="13.5" customHeight="1" x14ac:dyDescent="0.3">
      <c r="B542" s="7"/>
      <c r="C542" s="8"/>
    </row>
    <row r="543" spans="2:3" ht="13.5" customHeight="1" x14ac:dyDescent="0.3">
      <c r="B543" s="7"/>
      <c r="C543" s="8"/>
    </row>
    <row r="544" spans="2:3" ht="13.5" customHeight="1" x14ac:dyDescent="0.3">
      <c r="B544" s="7"/>
      <c r="C544" s="8"/>
    </row>
    <row r="545" spans="2:3" ht="13.5" customHeight="1" x14ac:dyDescent="0.3">
      <c r="B545" s="7"/>
      <c r="C545" s="8"/>
    </row>
    <row r="546" spans="2:3" ht="13.5" customHeight="1" x14ac:dyDescent="0.3">
      <c r="B546" s="7"/>
      <c r="C546" s="8"/>
    </row>
    <row r="547" spans="2:3" ht="13.5" customHeight="1" x14ac:dyDescent="0.3">
      <c r="B547" s="7"/>
      <c r="C547" s="8"/>
    </row>
    <row r="548" spans="2:3" ht="13.5" customHeight="1" x14ac:dyDescent="0.3">
      <c r="B548" s="7"/>
      <c r="C548" s="8"/>
    </row>
    <row r="549" spans="2:3" ht="13.5" customHeight="1" x14ac:dyDescent="0.3">
      <c r="B549" s="7"/>
      <c r="C549" s="8"/>
    </row>
    <row r="550" spans="2:3" ht="13.5" customHeight="1" x14ac:dyDescent="0.3">
      <c r="B550" s="7"/>
      <c r="C550" s="8"/>
    </row>
    <row r="551" spans="2:3" ht="13.5" customHeight="1" x14ac:dyDescent="0.3">
      <c r="B551" s="7"/>
      <c r="C551" s="8"/>
    </row>
    <row r="552" spans="2:3" ht="13.5" customHeight="1" x14ac:dyDescent="0.3">
      <c r="B552" s="7"/>
      <c r="C552" s="8"/>
    </row>
    <row r="553" spans="2:3" ht="13.5" customHeight="1" x14ac:dyDescent="0.3">
      <c r="B553" s="7"/>
      <c r="C553" s="8"/>
    </row>
    <row r="554" spans="2:3" ht="13.5" customHeight="1" x14ac:dyDescent="0.3">
      <c r="B554" s="7"/>
      <c r="C554" s="8"/>
    </row>
    <row r="555" spans="2:3" ht="13.5" customHeight="1" x14ac:dyDescent="0.3">
      <c r="B555" s="7"/>
      <c r="C555" s="8"/>
    </row>
    <row r="556" spans="2:3" ht="13.5" customHeight="1" x14ac:dyDescent="0.3">
      <c r="B556" s="7"/>
      <c r="C556" s="8"/>
    </row>
    <row r="557" spans="2:3" ht="13.5" customHeight="1" x14ac:dyDescent="0.3">
      <c r="B557" s="7"/>
      <c r="C557" s="8"/>
    </row>
    <row r="558" spans="2:3" ht="13.5" customHeight="1" x14ac:dyDescent="0.3">
      <c r="B558" s="7"/>
      <c r="C558" s="8"/>
    </row>
    <row r="559" spans="2:3" ht="13.5" customHeight="1" x14ac:dyDescent="0.3">
      <c r="B559" s="7"/>
      <c r="C559" s="8"/>
    </row>
    <row r="560" spans="2:3" ht="13.5" customHeight="1" x14ac:dyDescent="0.3">
      <c r="B560" s="7"/>
      <c r="C560" s="8"/>
    </row>
    <row r="561" spans="2:3" ht="13.5" customHeight="1" x14ac:dyDescent="0.3">
      <c r="B561" s="7"/>
      <c r="C561" s="8"/>
    </row>
    <row r="562" spans="2:3" ht="13.5" customHeight="1" x14ac:dyDescent="0.3">
      <c r="B562" s="7"/>
      <c r="C562" s="8"/>
    </row>
    <row r="563" spans="2:3" ht="13.5" customHeight="1" x14ac:dyDescent="0.3">
      <c r="B563" s="7"/>
      <c r="C563" s="8"/>
    </row>
    <row r="564" spans="2:3" ht="13.5" customHeight="1" x14ac:dyDescent="0.3">
      <c r="B564" s="7"/>
      <c r="C564" s="8"/>
    </row>
    <row r="565" spans="2:3" ht="13.5" customHeight="1" x14ac:dyDescent="0.3">
      <c r="B565" s="7"/>
      <c r="C565" s="8"/>
    </row>
    <row r="566" spans="2:3" ht="13.5" customHeight="1" x14ac:dyDescent="0.3">
      <c r="B566" s="7"/>
      <c r="C566" s="8"/>
    </row>
    <row r="567" spans="2:3" ht="13.5" customHeight="1" x14ac:dyDescent="0.3">
      <c r="B567" s="7"/>
      <c r="C567" s="8"/>
    </row>
    <row r="568" spans="2:3" ht="13.5" customHeight="1" x14ac:dyDescent="0.3">
      <c r="B568" s="7"/>
      <c r="C568" s="8"/>
    </row>
    <row r="569" spans="2:3" ht="13.5" customHeight="1" x14ac:dyDescent="0.3">
      <c r="B569" s="7"/>
      <c r="C569" s="8"/>
    </row>
    <row r="570" spans="2:3" ht="13.5" customHeight="1" x14ac:dyDescent="0.3">
      <c r="B570" s="7"/>
      <c r="C570" s="8"/>
    </row>
    <row r="571" spans="2:3" ht="13.5" customHeight="1" x14ac:dyDescent="0.3">
      <c r="B571" s="7"/>
      <c r="C571" s="8"/>
    </row>
    <row r="572" spans="2:3" ht="13.5" customHeight="1" x14ac:dyDescent="0.3">
      <c r="B572" s="7"/>
      <c r="C572" s="8"/>
    </row>
    <row r="573" spans="2:3" ht="13.5" customHeight="1" x14ac:dyDescent="0.3">
      <c r="B573" s="7"/>
      <c r="C573" s="8"/>
    </row>
    <row r="574" spans="2:3" ht="13.5" customHeight="1" x14ac:dyDescent="0.3">
      <c r="B574" s="7"/>
      <c r="C574" s="8"/>
    </row>
    <row r="575" spans="2:3" ht="13.5" customHeight="1" x14ac:dyDescent="0.3">
      <c r="B575" s="7"/>
      <c r="C575" s="8"/>
    </row>
    <row r="576" spans="2:3" ht="13.5" customHeight="1" x14ac:dyDescent="0.3">
      <c r="B576" s="7"/>
      <c r="C576" s="8"/>
    </row>
    <row r="577" spans="2:3" ht="13.5" customHeight="1" x14ac:dyDescent="0.3">
      <c r="B577" s="7"/>
      <c r="C577" s="8"/>
    </row>
    <row r="578" spans="2:3" ht="13.5" customHeight="1" x14ac:dyDescent="0.3">
      <c r="B578" s="7"/>
      <c r="C578" s="8"/>
    </row>
    <row r="579" spans="2:3" ht="13.5" customHeight="1" x14ac:dyDescent="0.3">
      <c r="B579" s="7"/>
      <c r="C579" s="8"/>
    </row>
    <row r="580" spans="2:3" ht="13.5" customHeight="1" x14ac:dyDescent="0.3">
      <c r="B580" s="7"/>
      <c r="C580" s="8"/>
    </row>
    <row r="581" spans="2:3" ht="13.5" customHeight="1" x14ac:dyDescent="0.3">
      <c r="B581" s="7"/>
      <c r="C581" s="8"/>
    </row>
    <row r="582" spans="2:3" ht="13.5" customHeight="1" x14ac:dyDescent="0.3">
      <c r="B582" s="7"/>
      <c r="C582" s="8"/>
    </row>
    <row r="583" spans="2:3" ht="13.5" customHeight="1" x14ac:dyDescent="0.3">
      <c r="B583" s="7"/>
      <c r="C583" s="8"/>
    </row>
    <row r="584" spans="2:3" ht="13.5" customHeight="1" x14ac:dyDescent="0.3">
      <c r="B584" s="7"/>
      <c r="C584" s="8"/>
    </row>
    <row r="585" spans="2:3" ht="13.5" customHeight="1" x14ac:dyDescent="0.3">
      <c r="B585" s="7"/>
      <c r="C585" s="8"/>
    </row>
    <row r="586" spans="2:3" ht="13.5" customHeight="1" x14ac:dyDescent="0.3">
      <c r="B586" s="7"/>
      <c r="C586" s="8"/>
    </row>
    <row r="587" spans="2:3" ht="13.5" customHeight="1" x14ac:dyDescent="0.3">
      <c r="B587" s="7"/>
      <c r="C587" s="8"/>
    </row>
    <row r="588" spans="2:3" ht="13.5" customHeight="1" x14ac:dyDescent="0.3">
      <c r="B588" s="7"/>
      <c r="C588" s="8"/>
    </row>
    <row r="589" spans="2:3" ht="13.5" customHeight="1" x14ac:dyDescent="0.3">
      <c r="B589" s="7"/>
      <c r="C589" s="8"/>
    </row>
    <row r="590" spans="2:3" ht="13.5" customHeight="1" x14ac:dyDescent="0.3">
      <c r="B590" s="7"/>
      <c r="C590" s="8"/>
    </row>
    <row r="591" spans="2:3" ht="13.5" customHeight="1" x14ac:dyDescent="0.3">
      <c r="B591" s="7"/>
      <c r="C591" s="8"/>
    </row>
    <row r="592" spans="2:3" ht="13.5" customHeight="1" x14ac:dyDescent="0.3">
      <c r="B592" s="7"/>
      <c r="C592" s="8"/>
    </row>
    <row r="593" spans="2:3" ht="13.5" customHeight="1" x14ac:dyDescent="0.3">
      <c r="B593" s="7"/>
      <c r="C593" s="8"/>
    </row>
    <row r="594" spans="2:3" ht="13.5" customHeight="1" x14ac:dyDescent="0.3">
      <c r="B594" s="7"/>
      <c r="C594" s="8"/>
    </row>
    <row r="595" spans="2:3" ht="13.5" customHeight="1" x14ac:dyDescent="0.3">
      <c r="B595" s="7"/>
      <c r="C595" s="8"/>
    </row>
    <row r="596" spans="2:3" ht="13.5" customHeight="1" x14ac:dyDescent="0.3">
      <c r="B596" s="7"/>
      <c r="C596" s="8"/>
    </row>
    <row r="597" spans="2:3" ht="13.5" customHeight="1" x14ac:dyDescent="0.3">
      <c r="B597" s="7"/>
      <c r="C597" s="8"/>
    </row>
    <row r="598" spans="2:3" ht="13.5" customHeight="1" x14ac:dyDescent="0.3">
      <c r="B598" s="7"/>
      <c r="C598" s="8"/>
    </row>
    <row r="599" spans="2:3" ht="13.5" customHeight="1" x14ac:dyDescent="0.3">
      <c r="B599" s="7"/>
      <c r="C599" s="8"/>
    </row>
    <row r="600" spans="2:3" ht="13.5" customHeight="1" x14ac:dyDescent="0.3">
      <c r="B600" s="7"/>
      <c r="C600" s="8"/>
    </row>
    <row r="601" spans="2:3" ht="13.5" customHeight="1" x14ac:dyDescent="0.3">
      <c r="B601" s="7"/>
      <c r="C601" s="8"/>
    </row>
    <row r="602" spans="2:3" ht="13.5" customHeight="1" x14ac:dyDescent="0.3">
      <c r="B602" s="7"/>
      <c r="C602" s="8"/>
    </row>
    <row r="603" spans="2:3" ht="13.5" customHeight="1" x14ac:dyDescent="0.3">
      <c r="B603" s="7"/>
      <c r="C603" s="8"/>
    </row>
    <row r="604" spans="2:3" ht="13.5" customHeight="1" x14ac:dyDescent="0.3">
      <c r="B604" s="7"/>
      <c r="C604" s="8"/>
    </row>
    <row r="605" spans="2:3" ht="13.5" customHeight="1" x14ac:dyDescent="0.3">
      <c r="B605" s="7"/>
      <c r="C605" s="8"/>
    </row>
    <row r="606" spans="2:3" ht="13.5" customHeight="1" x14ac:dyDescent="0.3">
      <c r="B606" s="7"/>
      <c r="C606" s="8"/>
    </row>
    <row r="607" spans="2:3" ht="13.5" customHeight="1" x14ac:dyDescent="0.3">
      <c r="B607" s="7"/>
      <c r="C607" s="8"/>
    </row>
    <row r="608" spans="2:3" ht="13.5" customHeight="1" x14ac:dyDescent="0.3">
      <c r="B608" s="7"/>
      <c r="C608" s="8"/>
    </row>
    <row r="609" spans="2:3" ht="13.5" customHeight="1" x14ac:dyDescent="0.3">
      <c r="B609" s="7"/>
      <c r="C609" s="8"/>
    </row>
    <row r="610" spans="2:3" ht="13.5" customHeight="1" x14ac:dyDescent="0.3">
      <c r="B610" s="7"/>
      <c r="C610" s="8"/>
    </row>
    <row r="611" spans="2:3" ht="13.5" customHeight="1" x14ac:dyDescent="0.3">
      <c r="B611" s="7"/>
      <c r="C611" s="8"/>
    </row>
    <row r="612" spans="2:3" ht="13.5" customHeight="1" x14ac:dyDescent="0.3">
      <c r="B612" s="7"/>
      <c r="C612" s="8"/>
    </row>
    <row r="613" spans="2:3" ht="13.5" customHeight="1" x14ac:dyDescent="0.3">
      <c r="B613" s="7"/>
      <c r="C613" s="8"/>
    </row>
    <row r="614" spans="2:3" ht="13.5" customHeight="1" x14ac:dyDescent="0.3">
      <c r="B614" s="7"/>
      <c r="C614" s="8"/>
    </row>
    <row r="615" spans="2:3" ht="13.5" customHeight="1" x14ac:dyDescent="0.3">
      <c r="B615" s="7"/>
      <c r="C615" s="8"/>
    </row>
    <row r="616" spans="2:3" ht="13.5" customHeight="1" x14ac:dyDescent="0.3">
      <c r="B616" s="7"/>
      <c r="C616" s="8"/>
    </row>
    <row r="617" spans="2:3" ht="13.5" customHeight="1" x14ac:dyDescent="0.3">
      <c r="B617" s="7"/>
      <c r="C617" s="8"/>
    </row>
    <row r="618" spans="2:3" ht="13.5" customHeight="1" x14ac:dyDescent="0.3">
      <c r="B618" s="7"/>
      <c r="C618" s="8"/>
    </row>
    <row r="619" spans="2:3" ht="13.5" customHeight="1" x14ac:dyDescent="0.3">
      <c r="B619" s="7"/>
      <c r="C619" s="8"/>
    </row>
    <row r="620" spans="2:3" ht="13.5" customHeight="1" x14ac:dyDescent="0.3">
      <c r="B620" s="7"/>
      <c r="C620" s="8"/>
    </row>
    <row r="621" spans="2:3" ht="13.5" customHeight="1" x14ac:dyDescent="0.3">
      <c r="B621" s="7"/>
      <c r="C621" s="8"/>
    </row>
    <row r="622" spans="2:3" ht="13.5" customHeight="1" x14ac:dyDescent="0.3">
      <c r="B622" s="7"/>
      <c r="C622" s="8"/>
    </row>
    <row r="623" spans="2:3" ht="13.5" customHeight="1" x14ac:dyDescent="0.3">
      <c r="B623" s="7"/>
      <c r="C623" s="8"/>
    </row>
    <row r="624" spans="2:3" ht="13.5" customHeight="1" x14ac:dyDescent="0.3">
      <c r="B624" s="7"/>
      <c r="C624" s="8"/>
    </row>
    <row r="625" spans="2:3" ht="13.5" customHeight="1" x14ac:dyDescent="0.3">
      <c r="B625" s="7"/>
      <c r="C625" s="8"/>
    </row>
    <row r="626" spans="2:3" ht="13.5" customHeight="1" x14ac:dyDescent="0.3">
      <c r="B626" s="7"/>
      <c r="C626" s="8"/>
    </row>
    <row r="627" spans="2:3" ht="13.5" customHeight="1" x14ac:dyDescent="0.3">
      <c r="B627" s="7"/>
      <c r="C627" s="8"/>
    </row>
    <row r="628" spans="2:3" ht="13.5" customHeight="1" x14ac:dyDescent="0.3">
      <c r="B628" s="7"/>
      <c r="C628" s="8"/>
    </row>
    <row r="629" spans="2:3" ht="13.5" customHeight="1" x14ac:dyDescent="0.3">
      <c r="B629" s="7"/>
      <c r="C629" s="8"/>
    </row>
    <row r="630" spans="2:3" ht="13.5" customHeight="1" x14ac:dyDescent="0.3">
      <c r="B630" s="7"/>
      <c r="C630" s="8"/>
    </row>
    <row r="631" spans="2:3" ht="13.5" customHeight="1" x14ac:dyDescent="0.3">
      <c r="B631" s="7"/>
      <c r="C631" s="8"/>
    </row>
    <row r="632" spans="2:3" ht="13.5" customHeight="1" x14ac:dyDescent="0.3">
      <c r="B632" s="7"/>
      <c r="C632" s="8"/>
    </row>
    <row r="633" spans="2:3" ht="13.5" customHeight="1" x14ac:dyDescent="0.3">
      <c r="B633" s="7"/>
      <c r="C633" s="8"/>
    </row>
    <row r="634" spans="2:3" ht="13.5" customHeight="1" x14ac:dyDescent="0.3">
      <c r="B634" s="7"/>
      <c r="C634" s="8"/>
    </row>
    <row r="635" spans="2:3" ht="13.5" customHeight="1" x14ac:dyDescent="0.3">
      <c r="B635" s="7"/>
      <c r="C635" s="8"/>
    </row>
    <row r="636" spans="2:3" ht="13.5" customHeight="1" x14ac:dyDescent="0.3">
      <c r="B636" s="7"/>
      <c r="C636" s="8"/>
    </row>
    <row r="637" spans="2:3" ht="13.5" customHeight="1" x14ac:dyDescent="0.3">
      <c r="B637" s="7"/>
      <c r="C637" s="8"/>
    </row>
    <row r="638" spans="2:3" ht="13.5" customHeight="1" x14ac:dyDescent="0.3">
      <c r="B638" s="7"/>
      <c r="C638" s="8"/>
    </row>
    <row r="639" spans="2:3" ht="13.5" customHeight="1" x14ac:dyDescent="0.3">
      <c r="B639" s="7"/>
      <c r="C639" s="8"/>
    </row>
    <row r="640" spans="2:3" ht="13.5" customHeight="1" x14ac:dyDescent="0.3">
      <c r="B640" s="7"/>
      <c r="C640" s="8"/>
    </row>
    <row r="641" spans="2:3" ht="13.5" customHeight="1" x14ac:dyDescent="0.3">
      <c r="B641" s="7"/>
      <c r="C641" s="8"/>
    </row>
    <row r="642" spans="2:3" ht="13.5" customHeight="1" x14ac:dyDescent="0.3">
      <c r="B642" s="7"/>
      <c r="C642" s="8"/>
    </row>
    <row r="643" spans="2:3" ht="13.5" customHeight="1" x14ac:dyDescent="0.3">
      <c r="B643" s="7"/>
      <c r="C643" s="8"/>
    </row>
    <row r="644" spans="2:3" ht="13.5" customHeight="1" x14ac:dyDescent="0.3">
      <c r="B644" s="7"/>
      <c r="C644" s="8"/>
    </row>
    <row r="645" spans="2:3" ht="13.5" customHeight="1" x14ac:dyDescent="0.3">
      <c r="B645" s="7"/>
      <c r="C645" s="8"/>
    </row>
    <row r="646" spans="2:3" ht="13.5" customHeight="1" x14ac:dyDescent="0.3">
      <c r="B646" s="7"/>
      <c r="C646" s="8"/>
    </row>
    <row r="647" spans="2:3" ht="13.5" customHeight="1" x14ac:dyDescent="0.3">
      <c r="B647" s="7"/>
      <c r="C647" s="8"/>
    </row>
    <row r="648" spans="2:3" ht="13.5" customHeight="1" x14ac:dyDescent="0.3">
      <c r="B648" s="7"/>
      <c r="C648" s="8"/>
    </row>
    <row r="649" spans="2:3" ht="13.5" customHeight="1" x14ac:dyDescent="0.3">
      <c r="B649" s="7"/>
      <c r="C649" s="8"/>
    </row>
    <row r="650" spans="2:3" ht="13.5" customHeight="1" x14ac:dyDescent="0.3">
      <c r="B650" s="7"/>
      <c r="C650" s="8"/>
    </row>
    <row r="651" spans="2:3" ht="13.5" customHeight="1" x14ac:dyDescent="0.3">
      <c r="B651" s="7"/>
      <c r="C651" s="8"/>
    </row>
    <row r="652" spans="2:3" ht="13.5" customHeight="1" x14ac:dyDescent="0.3">
      <c r="B652" s="7"/>
      <c r="C652" s="8"/>
    </row>
    <row r="653" spans="2:3" ht="13.5" customHeight="1" x14ac:dyDescent="0.3">
      <c r="B653" s="7"/>
      <c r="C653" s="8"/>
    </row>
    <row r="654" spans="2:3" ht="13.5" customHeight="1" x14ac:dyDescent="0.3">
      <c r="B654" s="7"/>
      <c r="C654" s="8"/>
    </row>
    <row r="655" spans="2:3" ht="13.5" customHeight="1" x14ac:dyDescent="0.3">
      <c r="B655" s="7"/>
      <c r="C655" s="8"/>
    </row>
    <row r="656" spans="2:3" ht="13.5" customHeight="1" x14ac:dyDescent="0.3">
      <c r="B656" s="7"/>
      <c r="C656" s="8"/>
    </row>
    <row r="657" spans="2:3" ht="13.5" customHeight="1" x14ac:dyDescent="0.3">
      <c r="B657" s="7"/>
      <c r="C657" s="8"/>
    </row>
    <row r="658" spans="2:3" ht="13.5" customHeight="1" x14ac:dyDescent="0.3">
      <c r="B658" s="7"/>
      <c r="C658" s="8"/>
    </row>
    <row r="659" spans="2:3" ht="13.5" customHeight="1" x14ac:dyDescent="0.3">
      <c r="B659" s="7"/>
      <c r="C659" s="8"/>
    </row>
    <row r="660" spans="2:3" ht="13.5" customHeight="1" x14ac:dyDescent="0.3">
      <c r="B660" s="7"/>
      <c r="C660" s="8"/>
    </row>
    <row r="661" spans="2:3" ht="13.5" customHeight="1" x14ac:dyDescent="0.3">
      <c r="B661" s="7"/>
      <c r="C661" s="8"/>
    </row>
    <row r="662" spans="2:3" ht="13.5" customHeight="1" x14ac:dyDescent="0.3">
      <c r="B662" s="7"/>
      <c r="C662" s="8"/>
    </row>
    <row r="663" spans="2:3" ht="13.5" customHeight="1" x14ac:dyDescent="0.3">
      <c r="B663" s="7"/>
      <c r="C663" s="8"/>
    </row>
    <row r="664" spans="2:3" ht="13.5" customHeight="1" x14ac:dyDescent="0.3">
      <c r="B664" s="7"/>
      <c r="C664" s="8"/>
    </row>
    <row r="665" spans="2:3" ht="13.5" customHeight="1" x14ac:dyDescent="0.3">
      <c r="B665" s="7"/>
      <c r="C665" s="8"/>
    </row>
    <row r="666" spans="2:3" ht="13.5" customHeight="1" x14ac:dyDescent="0.3">
      <c r="B666" s="7"/>
      <c r="C666" s="8"/>
    </row>
    <row r="667" spans="2:3" ht="13.5" customHeight="1" x14ac:dyDescent="0.3">
      <c r="B667" s="7"/>
      <c r="C667" s="8"/>
    </row>
    <row r="668" spans="2:3" ht="13.5" customHeight="1" x14ac:dyDescent="0.3">
      <c r="B668" s="7"/>
      <c r="C668" s="8"/>
    </row>
    <row r="669" spans="2:3" ht="13.5" customHeight="1" x14ac:dyDescent="0.3">
      <c r="B669" s="7"/>
      <c r="C669" s="8"/>
    </row>
    <row r="670" spans="2:3" ht="13.5" customHeight="1" x14ac:dyDescent="0.3">
      <c r="B670" s="7"/>
      <c r="C670" s="8"/>
    </row>
    <row r="671" spans="2:3" ht="13.5" customHeight="1" x14ac:dyDescent="0.3">
      <c r="B671" s="7"/>
      <c r="C671" s="8"/>
    </row>
    <row r="672" spans="2:3" ht="13.5" customHeight="1" x14ac:dyDescent="0.3">
      <c r="B672" s="7"/>
      <c r="C672" s="8"/>
    </row>
    <row r="673" spans="2:3" ht="13.5" customHeight="1" x14ac:dyDescent="0.3">
      <c r="B673" s="7"/>
      <c r="C673" s="8"/>
    </row>
    <row r="674" spans="2:3" ht="13.5" customHeight="1" x14ac:dyDescent="0.3">
      <c r="B674" s="7"/>
      <c r="C674" s="8"/>
    </row>
    <row r="675" spans="2:3" ht="13.5" customHeight="1" x14ac:dyDescent="0.3">
      <c r="B675" s="7"/>
      <c r="C675" s="8"/>
    </row>
    <row r="676" spans="2:3" ht="13.5" customHeight="1" x14ac:dyDescent="0.3">
      <c r="B676" s="7"/>
      <c r="C676" s="8"/>
    </row>
    <row r="677" spans="2:3" ht="13.5" customHeight="1" x14ac:dyDescent="0.3">
      <c r="B677" s="7"/>
      <c r="C677" s="8"/>
    </row>
    <row r="678" spans="2:3" ht="13.5" customHeight="1" x14ac:dyDescent="0.3">
      <c r="B678" s="7"/>
      <c r="C678" s="8"/>
    </row>
    <row r="679" spans="2:3" ht="13.5" customHeight="1" x14ac:dyDescent="0.3">
      <c r="B679" s="7"/>
      <c r="C679" s="8"/>
    </row>
    <row r="680" spans="2:3" ht="13.5" customHeight="1" x14ac:dyDescent="0.3">
      <c r="B680" s="7"/>
      <c r="C680" s="8"/>
    </row>
    <row r="681" spans="2:3" ht="13.5" customHeight="1" x14ac:dyDescent="0.3">
      <c r="B681" s="7"/>
      <c r="C681" s="8"/>
    </row>
    <row r="682" spans="2:3" ht="13.5" customHeight="1" x14ac:dyDescent="0.3">
      <c r="B682" s="7"/>
      <c r="C682" s="8"/>
    </row>
    <row r="683" spans="2:3" ht="13.5" customHeight="1" x14ac:dyDescent="0.3">
      <c r="B683" s="7"/>
      <c r="C683" s="8"/>
    </row>
    <row r="684" spans="2:3" ht="13.5" customHeight="1" x14ac:dyDescent="0.3">
      <c r="B684" s="7"/>
      <c r="C684" s="8"/>
    </row>
    <row r="685" spans="2:3" ht="13.5" customHeight="1" x14ac:dyDescent="0.3">
      <c r="B685" s="7"/>
      <c r="C685" s="8"/>
    </row>
    <row r="686" spans="2:3" ht="13.5" customHeight="1" x14ac:dyDescent="0.3">
      <c r="B686" s="7"/>
      <c r="C686" s="8"/>
    </row>
    <row r="687" spans="2:3" ht="13.5" customHeight="1" x14ac:dyDescent="0.3">
      <c r="B687" s="7"/>
      <c r="C687" s="8"/>
    </row>
    <row r="688" spans="2:3" ht="13.5" customHeight="1" x14ac:dyDescent="0.3">
      <c r="B688" s="7"/>
      <c r="C688" s="8"/>
    </row>
    <row r="689" spans="2:3" ht="13.5" customHeight="1" x14ac:dyDescent="0.3">
      <c r="B689" s="7"/>
      <c r="C689" s="8"/>
    </row>
    <row r="690" spans="2:3" ht="13.5" customHeight="1" x14ac:dyDescent="0.3">
      <c r="B690" s="7"/>
      <c r="C690" s="8"/>
    </row>
    <row r="691" spans="2:3" ht="13.5" customHeight="1" x14ac:dyDescent="0.3">
      <c r="B691" s="7"/>
      <c r="C691" s="8"/>
    </row>
    <row r="692" spans="2:3" ht="13.5" customHeight="1" x14ac:dyDescent="0.3">
      <c r="B692" s="7"/>
      <c r="C692" s="8"/>
    </row>
    <row r="693" spans="2:3" ht="13.5" customHeight="1" x14ac:dyDescent="0.3">
      <c r="B693" s="7"/>
      <c r="C693" s="8"/>
    </row>
    <row r="694" spans="2:3" ht="13.5" customHeight="1" x14ac:dyDescent="0.3">
      <c r="B694" s="7"/>
      <c r="C694" s="8"/>
    </row>
    <row r="695" spans="2:3" ht="13.5" customHeight="1" x14ac:dyDescent="0.3">
      <c r="B695" s="7"/>
      <c r="C695" s="8"/>
    </row>
    <row r="696" spans="2:3" ht="13.5" customHeight="1" x14ac:dyDescent="0.3">
      <c r="B696" s="7"/>
      <c r="C696" s="8"/>
    </row>
    <row r="697" spans="2:3" ht="13.5" customHeight="1" x14ac:dyDescent="0.3">
      <c r="B697" s="7"/>
      <c r="C697" s="8"/>
    </row>
    <row r="698" spans="2:3" ht="13.5" customHeight="1" x14ac:dyDescent="0.3">
      <c r="B698" s="7"/>
      <c r="C698" s="8"/>
    </row>
    <row r="699" spans="2:3" ht="13.5" customHeight="1" x14ac:dyDescent="0.3">
      <c r="B699" s="7"/>
      <c r="C699" s="8"/>
    </row>
    <row r="700" spans="2:3" ht="13.5" customHeight="1" x14ac:dyDescent="0.3">
      <c r="B700" s="7"/>
      <c r="C700" s="8"/>
    </row>
    <row r="701" spans="2:3" ht="13.5" customHeight="1" x14ac:dyDescent="0.3">
      <c r="B701" s="7"/>
      <c r="C701" s="8"/>
    </row>
    <row r="702" spans="2:3" ht="13.5" customHeight="1" x14ac:dyDescent="0.3">
      <c r="B702" s="7"/>
      <c r="C702" s="8"/>
    </row>
    <row r="703" spans="2:3" ht="13.5" customHeight="1" x14ac:dyDescent="0.3">
      <c r="B703" s="7"/>
      <c r="C703" s="8"/>
    </row>
    <row r="704" spans="2:3" ht="13.5" customHeight="1" x14ac:dyDescent="0.3">
      <c r="B704" s="7"/>
      <c r="C704" s="8"/>
    </row>
    <row r="705" spans="2:3" ht="13.5" customHeight="1" x14ac:dyDescent="0.3">
      <c r="B705" s="7"/>
      <c r="C705" s="8"/>
    </row>
    <row r="706" spans="2:3" ht="13.5" customHeight="1" x14ac:dyDescent="0.3">
      <c r="B706" s="7"/>
      <c r="C706" s="8"/>
    </row>
    <row r="707" spans="2:3" ht="13.5" customHeight="1" x14ac:dyDescent="0.3">
      <c r="B707" s="7"/>
      <c r="C707" s="8"/>
    </row>
    <row r="708" spans="2:3" ht="13.5" customHeight="1" x14ac:dyDescent="0.3">
      <c r="B708" s="7"/>
      <c r="C708" s="8"/>
    </row>
    <row r="709" spans="2:3" ht="13.5" customHeight="1" x14ac:dyDescent="0.3">
      <c r="B709" s="7"/>
      <c r="C709" s="8"/>
    </row>
    <row r="710" spans="2:3" ht="13.5" customHeight="1" x14ac:dyDescent="0.3">
      <c r="B710" s="7"/>
      <c r="C710" s="8"/>
    </row>
    <row r="711" spans="2:3" ht="13.5" customHeight="1" x14ac:dyDescent="0.3">
      <c r="B711" s="7"/>
      <c r="C711" s="8"/>
    </row>
    <row r="712" spans="2:3" ht="13.5" customHeight="1" x14ac:dyDescent="0.3">
      <c r="B712" s="7"/>
      <c r="C712" s="8"/>
    </row>
    <row r="713" spans="2:3" ht="13.5" customHeight="1" x14ac:dyDescent="0.3">
      <c r="B713" s="7"/>
      <c r="C713" s="8"/>
    </row>
    <row r="714" spans="2:3" ht="13.5" customHeight="1" x14ac:dyDescent="0.3">
      <c r="B714" s="7"/>
      <c r="C714" s="8"/>
    </row>
    <row r="715" spans="2:3" ht="13.5" customHeight="1" x14ac:dyDescent="0.3">
      <c r="B715" s="7"/>
      <c r="C715" s="8"/>
    </row>
    <row r="716" spans="2:3" ht="13.5" customHeight="1" x14ac:dyDescent="0.3">
      <c r="B716" s="7"/>
      <c r="C716" s="8"/>
    </row>
    <row r="717" spans="2:3" ht="13.5" customHeight="1" x14ac:dyDescent="0.3">
      <c r="B717" s="7"/>
      <c r="C717" s="8"/>
    </row>
    <row r="718" spans="2:3" ht="13.5" customHeight="1" x14ac:dyDescent="0.3">
      <c r="B718" s="7"/>
      <c r="C718" s="8"/>
    </row>
    <row r="719" spans="2:3" ht="13.5" customHeight="1" x14ac:dyDescent="0.3">
      <c r="B719" s="7"/>
      <c r="C719" s="8"/>
    </row>
    <row r="720" spans="2:3" ht="13.5" customHeight="1" x14ac:dyDescent="0.3">
      <c r="B720" s="7"/>
      <c r="C720" s="8"/>
    </row>
    <row r="721" spans="2:3" ht="13.5" customHeight="1" x14ac:dyDescent="0.3">
      <c r="B721" s="7"/>
      <c r="C721" s="8"/>
    </row>
    <row r="722" spans="2:3" ht="13.5" customHeight="1" x14ac:dyDescent="0.3">
      <c r="B722" s="7"/>
      <c r="C722" s="8"/>
    </row>
    <row r="723" spans="2:3" ht="13.5" customHeight="1" x14ac:dyDescent="0.3">
      <c r="B723" s="7"/>
      <c r="C723" s="8"/>
    </row>
    <row r="724" spans="2:3" ht="13.5" customHeight="1" x14ac:dyDescent="0.3">
      <c r="B724" s="7"/>
      <c r="C724" s="8"/>
    </row>
    <row r="725" spans="2:3" ht="13.5" customHeight="1" x14ac:dyDescent="0.3">
      <c r="B725" s="7"/>
      <c r="C725" s="8"/>
    </row>
    <row r="726" spans="2:3" ht="13.5" customHeight="1" x14ac:dyDescent="0.3">
      <c r="B726" s="7"/>
      <c r="C726" s="8"/>
    </row>
    <row r="727" spans="2:3" ht="13.5" customHeight="1" x14ac:dyDescent="0.3">
      <c r="B727" s="7"/>
      <c r="C727" s="8"/>
    </row>
    <row r="728" spans="2:3" ht="13.5" customHeight="1" x14ac:dyDescent="0.3">
      <c r="B728" s="7"/>
      <c r="C728" s="8"/>
    </row>
    <row r="729" spans="2:3" ht="13.5" customHeight="1" x14ac:dyDescent="0.3">
      <c r="B729" s="7"/>
      <c r="C729" s="8"/>
    </row>
    <row r="730" spans="2:3" ht="13.5" customHeight="1" x14ac:dyDescent="0.3">
      <c r="B730" s="7"/>
      <c r="C730" s="8"/>
    </row>
    <row r="731" spans="2:3" ht="13.5" customHeight="1" x14ac:dyDescent="0.3">
      <c r="B731" s="7"/>
      <c r="C731" s="8"/>
    </row>
    <row r="732" spans="2:3" ht="13.5" customHeight="1" x14ac:dyDescent="0.3">
      <c r="B732" s="7"/>
      <c r="C732" s="8"/>
    </row>
    <row r="733" spans="2:3" ht="13.5" customHeight="1" x14ac:dyDescent="0.3">
      <c r="B733" s="7"/>
      <c r="C733" s="8"/>
    </row>
    <row r="734" spans="2:3" ht="13.5" customHeight="1" x14ac:dyDescent="0.3">
      <c r="B734" s="7"/>
      <c r="C734" s="8"/>
    </row>
    <row r="735" spans="2:3" ht="13.5" customHeight="1" x14ac:dyDescent="0.3">
      <c r="B735" s="7"/>
      <c r="C735" s="8"/>
    </row>
    <row r="736" spans="2:3" ht="13.5" customHeight="1" x14ac:dyDescent="0.3">
      <c r="B736" s="7"/>
      <c r="C736" s="8"/>
    </row>
    <row r="737" spans="2:3" ht="13.5" customHeight="1" x14ac:dyDescent="0.3">
      <c r="B737" s="7"/>
      <c r="C737" s="8"/>
    </row>
    <row r="738" spans="2:3" ht="13.5" customHeight="1" x14ac:dyDescent="0.3">
      <c r="B738" s="7"/>
      <c r="C738" s="8"/>
    </row>
    <row r="739" spans="2:3" ht="13.5" customHeight="1" x14ac:dyDescent="0.3">
      <c r="B739" s="7"/>
      <c r="C739" s="8"/>
    </row>
    <row r="740" spans="2:3" ht="13.5" customHeight="1" x14ac:dyDescent="0.3">
      <c r="B740" s="7"/>
      <c r="C740" s="8"/>
    </row>
    <row r="741" spans="2:3" ht="13.5" customHeight="1" x14ac:dyDescent="0.3">
      <c r="B741" s="7"/>
      <c r="C741" s="8"/>
    </row>
    <row r="742" spans="2:3" ht="13.5" customHeight="1" x14ac:dyDescent="0.3">
      <c r="B742" s="7"/>
      <c r="C742" s="8"/>
    </row>
    <row r="743" spans="2:3" ht="13.5" customHeight="1" x14ac:dyDescent="0.3">
      <c r="B743" s="7"/>
      <c r="C743" s="8"/>
    </row>
    <row r="744" spans="2:3" ht="13.5" customHeight="1" x14ac:dyDescent="0.3">
      <c r="B744" s="7"/>
      <c r="C744" s="8"/>
    </row>
    <row r="745" spans="2:3" ht="13.5" customHeight="1" x14ac:dyDescent="0.3">
      <c r="B745" s="7"/>
      <c r="C745" s="8"/>
    </row>
    <row r="746" spans="2:3" ht="13.5" customHeight="1" x14ac:dyDescent="0.3">
      <c r="B746" s="7"/>
      <c r="C746" s="8"/>
    </row>
    <row r="747" spans="2:3" ht="13.5" customHeight="1" x14ac:dyDescent="0.3">
      <c r="B747" s="7"/>
      <c r="C747" s="8"/>
    </row>
    <row r="748" spans="2:3" ht="13.5" customHeight="1" x14ac:dyDescent="0.3">
      <c r="B748" s="7"/>
      <c r="C748" s="8"/>
    </row>
    <row r="749" spans="2:3" ht="13.5" customHeight="1" x14ac:dyDescent="0.3">
      <c r="B749" s="7"/>
      <c r="C749" s="8"/>
    </row>
    <row r="750" spans="2:3" ht="13.5" customHeight="1" x14ac:dyDescent="0.3">
      <c r="B750" s="7"/>
      <c r="C750" s="8"/>
    </row>
    <row r="751" spans="2:3" ht="13.5" customHeight="1" x14ac:dyDescent="0.3">
      <c r="B751" s="7"/>
      <c r="C751" s="8"/>
    </row>
    <row r="752" spans="2:3" ht="13.5" customHeight="1" x14ac:dyDescent="0.3">
      <c r="B752" s="7"/>
      <c r="C752" s="8"/>
    </row>
    <row r="753" spans="2:3" ht="13.5" customHeight="1" x14ac:dyDescent="0.3">
      <c r="B753" s="7"/>
      <c r="C753" s="8"/>
    </row>
    <row r="754" spans="2:3" ht="13.5" customHeight="1" x14ac:dyDescent="0.3">
      <c r="B754" s="7"/>
      <c r="C754" s="8"/>
    </row>
    <row r="755" spans="2:3" ht="13.5" customHeight="1" x14ac:dyDescent="0.3">
      <c r="B755" s="7"/>
      <c r="C755" s="8"/>
    </row>
    <row r="756" spans="2:3" ht="13.5" customHeight="1" x14ac:dyDescent="0.3">
      <c r="B756" s="7"/>
      <c r="C756" s="8"/>
    </row>
    <row r="757" spans="2:3" ht="13.5" customHeight="1" x14ac:dyDescent="0.3">
      <c r="B757" s="7"/>
      <c r="C757" s="8"/>
    </row>
    <row r="758" spans="2:3" ht="13.5" customHeight="1" x14ac:dyDescent="0.3">
      <c r="B758" s="7"/>
      <c r="C758" s="8"/>
    </row>
    <row r="759" spans="2:3" ht="13.5" customHeight="1" x14ac:dyDescent="0.3">
      <c r="B759" s="7"/>
      <c r="C759" s="8"/>
    </row>
    <row r="760" spans="2:3" ht="13.5" customHeight="1" x14ac:dyDescent="0.3">
      <c r="B760" s="7"/>
      <c r="C760" s="8"/>
    </row>
    <row r="761" spans="2:3" ht="13.5" customHeight="1" x14ac:dyDescent="0.3">
      <c r="B761" s="7"/>
      <c r="C761" s="8"/>
    </row>
    <row r="762" spans="2:3" ht="13.5" customHeight="1" x14ac:dyDescent="0.3">
      <c r="B762" s="7"/>
      <c r="C762" s="8"/>
    </row>
    <row r="763" spans="2:3" ht="13.5" customHeight="1" x14ac:dyDescent="0.3">
      <c r="B763" s="7"/>
      <c r="C763" s="8"/>
    </row>
    <row r="764" spans="2:3" ht="13.5" customHeight="1" x14ac:dyDescent="0.3">
      <c r="B764" s="7"/>
      <c r="C764" s="8"/>
    </row>
    <row r="765" spans="2:3" ht="13.5" customHeight="1" x14ac:dyDescent="0.3">
      <c r="B765" s="7"/>
      <c r="C765" s="8"/>
    </row>
    <row r="766" spans="2:3" ht="13.5" customHeight="1" x14ac:dyDescent="0.3">
      <c r="B766" s="7"/>
      <c r="C766" s="8"/>
    </row>
    <row r="767" spans="2:3" ht="13.5" customHeight="1" x14ac:dyDescent="0.3">
      <c r="B767" s="7"/>
      <c r="C767" s="8"/>
    </row>
    <row r="768" spans="2:3" ht="13.5" customHeight="1" x14ac:dyDescent="0.3">
      <c r="B768" s="7"/>
      <c r="C768" s="8"/>
    </row>
    <row r="769" spans="2:3" ht="13.5" customHeight="1" x14ac:dyDescent="0.3">
      <c r="B769" s="7"/>
      <c r="C769" s="8"/>
    </row>
    <row r="770" spans="2:3" ht="13.5" customHeight="1" x14ac:dyDescent="0.3">
      <c r="B770" s="7"/>
      <c r="C770" s="8"/>
    </row>
    <row r="771" spans="2:3" ht="13.5" customHeight="1" x14ac:dyDescent="0.3">
      <c r="B771" s="7"/>
      <c r="C771" s="8"/>
    </row>
    <row r="772" spans="2:3" ht="13.5" customHeight="1" x14ac:dyDescent="0.3">
      <c r="B772" s="7"/>
      <c r="C772" s="8"/>
    </row>
    <row r="773" spans="2:3" ht="13.5" customHeight="1" x14ac:dyDescent="0.3">
      <c r="B773" s="7"/>
      <c r="C773" s="8"/>
    </row>
    <row r="774" spans="2:3" ht="13.5" customHeight="1" x14ac:dyDescent="0.3">
      <c r="B774" s="7"/>
      <c r="C774" s="8"/>
    </row>
    <row r="775" spans="2:3" ht="13.5" customHeight="1" x14ac:dyDescent="0.3">
      <c r="B775" s="7"/>
      <c r="C775" s="8"/>
    </row>
    <row r="776" spans="2:3" ht="13.5" customHeight="1" x14ac:dyDescent="0.3">
      <c r="B776" s="7"/>
      <c r="C776" s="8"/>
    </row>
    <row r="777" spans="2:3" ht="13.5" customHeight="1" x14ac:dyDescent="0.3">
      <c r="B777" s="7"/>
      <c r="C777" s="8"/>
    </row>
    <row r="778" spans="2:3" ht="13.5" customHeight="1" x14ac:dyDescent="0.3">
      <c r="B778" s="7"/>
      <c r="C778" s="8"/>
    </row>
    <row r="779" spans="2:3" ht="13.5" customHeight="1" x14ac:dyDescent="0.3">
      <c r="B779" s="7"/>
      <c r="C779" s="8"/>
    </row>
    <row r="780" spans="2:3" ht="13.5" customHeight="1" x14ac:dyDescent="0.3">
      <c r="B780" s="7"/>
      <c r="C780" s="8"/>
    </row>
    <row r="781" spans="2:3" ht="13.5" customHeight="1" x14ac:dyDescent="0.3">
      <c r="B781" s="7"/>
      <c r="C781" s="8"/>
    </row>
    <row r="782" spans="2:3" ht="13.5" customHeight="1" x14ac:dyDescent="0.3">
      <c r="B782" s="7"/>
      <c r="C782" s="8"/>
    </row>
    <row r="783" spans="2:3" ht="13.5" customHeight="1" x14ac:dyDescent="0.3">
      <c r="B783" s="7"/>
      <c r="C783" s="8"/>
    </row>
    <row r="784" spans="2:3" ht="13.5" customHeight="1" x14ac:dyDescent="0.3">
      <c r="B784" s="7"/>
      <c r="C784" s="8"/>
    </row>
    <row r="785" spans="2:3" ht="13.5" customHeight="1" x14ac:dyDescent="0.3">
      <c r="B785" s="7"/>
      <c r="C785" s="8"/>
    </row>
    <row r="786" spans="2:3" ht="13.5" customHeight="1" x14ac:dyDescent="0.3">
      <c r="B786" s="7"/>
      <c r="C786" s="8"/>
    </row>
    <row r="787" spans="2:3" ht="13.5" customHeight="1" x14ac:dyDescent="0.3">
      <c r="B787" s="7"/>
      <c r="C787" s="8"/>
    </row>
    <row r="788" spans="2:3" ht="13.5" customHeight="1" x14ac:dyDescent="0.3">
      <c r="B788" s="7"/>
      <c r="C788" s="8"/>
    </row>
    <row r="789" spans="2:3" ht="13.5" customHeight="1" x14ac:dyDescent="0.3">
      <c r="B789" s="7"/>
      <c r="C789" s="8"/>
    </row>
    <row r="790" spans="2:3" ht="13.5" customHeight="1" x14ac:dyDescent="0.3">
      <c r="B790" s="7"/>
      <c r="C790" s="8"/>
    </row>
    <row r="791" spans="2:3" ht="13.5" customHeight="1" x14ac:dyDescent="0.3">
      <c r="B791" s="7"/>
      <c r="C791" s="8"/>
    </row>
    <row r="792" spans="2:3" ht="13.5" customHeight="1" x14ac:dyDescent="0.3">
      <c r="B792" s="7"/>
      <c r="C792" s="8"/>
    </row>
    <row r="793" spans="2:3" ht="13.5" customHeight="1" x14ac:dyDescent="0.3">
      <c r="B793" s="7"/>
      <c r="C793" s="8"/>
    </row>
    <row r="794" spans="2:3" ht="13.5" customHeight="1" x14ac:dyDescent="0.3">
      <c r="B794" s="7"/>
      <c r="C794" s="8"/>
    </row>
    <row r="795" spans="2:3" ht="13.5" customHeight="1" x14ac:dyDescent="0.3">
      <c r="B795" s="7"/>
      <c r="C795" s="8"/>
    </row>
    <row r="796" spans="2:3" ht="13.5" customHeight="1" x14ac:dyDescent="0.3">
      <c r="B796" s="7"/>
      <c r="C796" s="8"/>
    </row>
    <row r="797" spans="2:3" ht="13.5" customHeight="1" x14ac:dyDescent="0.3">
      <c r="B797" s="7"/>
      <c r="C797" s="8"/>
    </row>
    <row r="798" spans="2:3" ht="13.5" customHeight="1" x14ac:dyDescent="0.3">
      <c r="B798" s="7"/>
      <c r="C798" s="8"/>
    </row>
    <row r="799" spans="2:3" ht="13.5" customHeight="1" x14ac:dyDescent="0.3">
      <c r="B799" s="7"/>
      <c r="C799" s="8"/>
    </row>
    <row r="800" spans="2:3" ht="13.5" customHeight="1" x14ac:dyDescent="0.3">
      <c r="B800" s="7"/>
      <c r="C800" s="8"/>
    </row>
    <row r="801" spans="2:3" ht="13.5" customHeight="1" x14ac:dyDescent="0.3">
      <c r="B801" s="7"/>
      <c r="C801" s="8"/>
    </row>
    <row r="802" spans="2:3" ht="13.5" customHeight="1" x14ac:dyDescent="0.3">
      <c r="B802" s="7"/>
      <c r="C802" s="8"/>
    </row>
    <row r="803" spans="2:3" ht="13.5" customHeight="1" x14ac:dyDescent="0.3">
      <c r="B803" s="7"/>
      <c r="C803" s="8"/>
    </row>
    <row r="804" spans="2:3" ht="13.5" customHeight="1" x14ac:dyDescent="0.3">
      <c r="B804" s="7"/>
      <c r="C804" s="8"/>
    </row>
    <row r="805" spans="2:3" ht="13.5" customHeight="1" x14ac:dyDescent="0.3">
      <c r="B805" s="7"/>
      <c r="C805" s="8"/>
    </row>
    <row r="806" spans="2:3" ht="13.5" customHeight="1" x14ac:dyDescent="0.3">
      <c r="B806" s="7"/>
      <c r="C806" s="8"/>
    </row>
    <row r="807" spans="2:3" ht="13.5" customHeight="1" x14ac:dyDescent="0.3">
      <c r="B807" s="7"/>
      <c r="C807" s="8"/>
    </row>
    <row r="808" spans="2:3" ht="13.5" customHeight="1" x14ac:dyDescent="0.3">
      <c r="B808" s="7"/>
      <c r="C808" s="8"/>
    </row>
    <row r="809" spans="2:3" ht="13.5" customHeight="1" x14ac:dyDescent="0.3">
      <c r="B809" s="7"/>
      <c r="C809" s="8"/>
    </row>
    <row r="810" spans="2:3" ht="13.5" customHeight="1" x14ac:dyDescent="0.3">
      <c r="B810" s="7"/>
      <c r="C810" s="8"/>
    </row>
    <row r="811" spans="2:3" ht="13.5" customHeight="1" x14ac:dyDescent="0.3">
      <c r="B811" s="7"/>
      <c r="C811" s="8"/>
    </row>
    <row r="812" spans="2:3" ht="13.5" customHeight="1" x14ac:dyDescent="0.3">
      <c r="B812" s="7"/>
      <c r="C812" s="8"/>
    </row>
    <row r="813" spans="2:3" ht="13.5" customHeight="1" x14ac:dyDescent="0.3">
      <c r="B813" s="7"/>
      <c r="C813" s="8"/>
    </row>
    <row r="814" spans="2:3" ht="13.5" customHeight="1" x14ac:dyDescent="0.3">
      <c r="B814" s="7"/>
      <c r="C814" s="8"/>
    </row>
    <row r="815" spans="2:3" ht="13.5" customHeight="1" x14ac:dyDescent="0.3">
      <c r="B815" s="7"/>
      <c r="C815" s="8"/>
    </row>
    <row r="816" spans="2:3" ht="13.5" customHeight="1" x14ac:dyDescent="0.3">
      <c r="B816" s="7"/>
      <c r="C816" s="8"/>
    </row>
    <row r="817" spans="2:3" ht="13.5" customHeight="1" x14ac:dyDescent="0.3">
      <c r="B817" s="7"/>
      <c r="C817" s="8"/>
    </row>
    <row r="818" spans="2:3" ht="13.5" customHeight="1" x14ac:dyDescent="0.3">
      <c r="B818" s="7"/>
      <c r="C818" s="8"/>
    </row>
    <row r="819" spans="2:3" ht="13.5" customHeight="1" x14ac:dyDescent="0.3">
      <c r="B819" s="7"/>
      <c r="C819" s="8"/>
    </row>
    <row r="820" spans="2:3" ht="13.5" customHeight="1" x14ac:dyDescent="0.3">
      <c r="B820" s="7"/>
      <c r="C820" s="8"/>
    </row>
    <row r="821" spans="2:3" ht="13.5" customHeight="1" x14ac:dyDescent="0.3">
      <c r="B821" s="7"/>
      <c r="C821" s="8"/>
    </row>
    <row r="822" spans="2:3" ht="13.5" customHeight="1" x14ac:dyDescent="0.3">
      <c r="B822" s="7"/>
      <c r="C822" s="8"/>
    </row>
    <row r="823" spans="2:3" ht="13.5" customHeight="1" x14ac:dyDescent="0.3">
      <c r="B823" s="7"/>
      <c r="C823" s="8"/>
    </row>
    <row r="824" spans="2:3" ht="13.5" customHeight="1" x14ac:dyDescent="0.3">
      <c r="B824" s="7"/>
      <c r="C824" s="8"/>
    </row>
    <row r="825" spans="2:3" ht="13.5" customHeight="1" x14ac:dyDescent="0.3">
      <c r="B825" s="7"/>
      <c r="C825" s="8"/>
    </row>
    <row r="826" spans="2:3" ht="13.5" customHeight="1" x14ac:dyDescent="0.3">
      <c r="B826" s="7"/>
      <c r="C826" s="8"/>
    </row>
    <row r="827" spans="2:3" ht="13.5" customHeight="1" x14ac:dyDescent="0.3">
      <c r="B827" s="7"/>
      <c r="C827" s="8"/>
    </row>
    <row r="828" spans="2:3" ht="13.5" customHeight="1" x14ac:dyDescent="0.3">
      <c r="B828" s="7"/>
      <c r="C828" s="8"/>
    </row>
    <row r="829" spans="2:3" ht="13.5" customHeight="1" x14ac:dyDescent="0.3">
      <c r="B829" s="7"/>
      <c r="C829" s="8"/>
    </row>
    <row r="830" spans="2:3" ht="13.5" customHeight="1" x14ac:dyDescent="0.3">
      <c r="B830" s="7"/>
      <c r="C830" s="8"/>
    </row>
    <row r="831" spans="2:3" ht="13.5" customHeight="1" x14ac:dyDescent="0.3">
      <c r="B831" s="7"/>
      <c r="C831" s="8"/>
    </row>
    <row r="832" spans="2:3" ht="13.5" customHeight="1" x14ac:dyDescent="0.3">
      <c r="B832" s="7"/>
      <c r="C832" s="8"/>
    </row>
    <row r="833" spans="2:3" ht="13.5" customHeight="1" x14ac:dyDescent="0.3">
      <c r="B833" s="7"/>
      <c r="C833" s="8"/>
    </row>
    <row r="834" spans="2:3" ht="13.5" customHeight="1" x14ac:dyDescent="0.3">
      <c r="B834" s="7"/>
      <c r="C834" s="8"/>
    </row>
    <row r="835" spans="2:3" ht="13.5" customHeight="1" x14ac:dyDescent="0.3">
      <c r="B835" s="7"/>
      <c r="C835" s="8"/>
    </row>
    <row r="836" spans="2:3" ht="13.5" customHeight="1" x14ac:dyDescent="0.3">
      <c r="B836" s="7"/>
      <c r="C836" s="8"/>
    </row>
    <row r="837" spans="2:3" ht="13.5" customHeight="1" x14ac:dyDescent="0.3">
      <c r="B837" s="7"/>
      <c r="C837" s="8"/>
    </row>
    <row r="838" spans="2:3" ht="13.5" customHeight="1" x14ac:dyDescent="0.3">
      <c r="B838" s="7"/>
      <c r="C838" s="8"/>
    </row>
    <row r="839" spans="2:3" ht="13.5" customHeight="1" x14ac:dyDescent="0.3">
      <c r="B839" s="7"/>
      <c r="C839" s="8"/>
    </row>
    <row r="840" spans="2:3" ht="13.5" customHeight="1" x14ac:dyDescent="0.3">
      <c r="B840" s="7"/>
      <c r="C840" s="8"/>
    </row>
    <row r="841" spans="2:3" ht="13.5" customHeight="1" x14ac:dyDescent="0.3">
      <c r="B841" s="7"/>
      <c r="C841" s="8"/>
    </row>
    <row r="842" spans="2:3" ht="13.5" customHeight="1" x14ac:dyDescent="0.3">
      <c r="B842" s="7"/>
      <c r="C842" s="8"/>
    </row>
    <row r="843" spans="2:3" ht="13.5" customHeight="1" x14ac:dyDescent="0.3">
      <c r="B843" s="7"/>
      <c r="C843" s="8"/>
    </row>
    <row r="844" spans="2:3" ht="13.5" customHeight="1" x14ac:dyDescent="0.3">
      <c r="B844" s="7"/>
      <c r="C844" s="8"/>
    </row>
    <row r="845" spans="2:3" ht="13.5" customHeight="1" x14ac:dyDescent="0.3">
      <c r="B845" s="7"/>
      <c r="C845" s="8"/>
    </row>
    <row r="846" spans="2:3" ht="13.5" customHeight="1" x14ac:dyDescent="0.3">
      <c r="B846" s="7"/>
      <c r="C846" s="8"/>
    </row>
    <row r="847" spans="2:3" ht="13.5" customHeight="1" x14ac:dyDescent="0.3">
      <c r="B847" s="7"/>
      <c r="C847" s="8"/>
    </row>
    <row r="848" spans="2:3" ht="13.5" customHeight="1" x14ac:dyDescent="0.3">
      <c r="B848" s="7"/>
      <c r="C848" s="8"/>
    </row>
    <row r="849" spans="2:3" ht="13.5" customHeight="1" x14ac:dyDescent="0.3">
      <c r="B849" s="7"/>
      <c r="C849" s="8"/>
    </row>
    <row r="850" spans="2:3" ht="13.5" customHeight="1" x14ac:dyDescent="0.3">
      <c r="B850" s="7"/>
      <c r="C850" s="8"/>
    </row>
    <row r="851" spans="2:3" ht="13.5" customHeight="1" x14ac:dyDescent="0.3">
      <c r="B851" s="7"/>
      <c r="C851" s="8"/>
    </row>
    <row r="852" spans="2:3" ht="13.5" customHeight="1" x14ac:dyDescent="0.3">
      <c r="B852" s="7"/>
      <c r="C852" s="8"/>
    </row>
    <row r="853" spans="2:3" ht="13.5" customHeight="1" x14ac:dyDescent="0.3">
      <c r="B853" s="7"/>
      <c r="C853" s="8"/>
    </row>
    <row r="854" spans="2:3" ht="13.5" customHeight="1" x14ac:dyDescent="0.3">
      <c r="B854" s="7"/>
      <c r="C854" s="8"/>
    </row>
    <row r="855" spans="2:3" ht="13.5" customHeight="1" x14ac:dyDescent="0.3">
      <c r="B855" s="7"/>
      <c r="C855" s="8"/>
    </row>
    <row r="856" spans="2:3" ht="13.5" customHeight="1" x14ac:dyDescent="0.3">
      <c r="B856" s="7"/>
      <c r="C856" s="8"/>
    </row>
    <row r="857" spans="2:3" ht="13.5" customHeight="1" x14ac:dyDescent="0.3">
      <c r="B857" s="7"/>
      <c r="C857" s="8"/>
    </row>
    <row r="858" spans="2:3" ht="13.5" customHeight="1" x14ac:dyDescent="0.3">
      <c r="B858" s="7"/>
      <c r="C858" s="8"/>
    </row>
    <row r="859" spans="2:3" ht="13.5" customHeight="1" x14ac:dyDescent="0.3">
      <c r="B859" s="7"/>
      <c r="C859" s="8"/>
    </row>
    <row r="860" spans="2:3" ht="13.5" customHeight="1" x14ac:dyDescent="0.3">
      <c r="B860" s="7"/>
      <c r="C860" s="8"/>
    </row>
    <row r="861" spans="2:3" ht="13.5" customHeight="1" x14ac:dyDescent="0.3">
      <c r="B861" s="7"/>
      <c r="C861" s="8"/>
    </row>
    <row r="862" spans="2:3" ht="13.5" customHeight="1" x14ac:dyDescent="0.3">
      <c r="B862" s="7"/>
      <c r="C862" s="8"/>
    </row>
    <row r="863" spans="2:3" ht="13.5" customHeight="1" x14ac:dyDescent="0.3">
      <c r="B863" s="7"/>
      <c r="C863" s="8"/>
    </row>
    <row r="864" spans="2:3" ht="13.5" customHeight="1" x14ac:dyDescent="0.3">
      <c r="B864" s="7"/>
      <c r="C864" s="8"/>
    </row>
    <row r="865" spans="2:3" ht="13.5" customHeight="1" x14ac:dyDescent="0.3">
      <c r="B865" s="7"/>
      <c r="C865" s="8"/>
    </row>
    <row r="866" spans="2:3" ht="13.5" customHeight="1" x14ac:dyDescent="0.3">
      <c r="B866" s="7"/>
      <c r="C866" s="8"/>
    </row>
    <row r="867" spans="2:3" ht="13.5" customHeight="1" x14ac:dyDescent="0.3">
      <c r="B867" s="7"/>
      <c r="C867" s="8"/>
    </row>
    <row r="868" spans="2:3" ht="13.5" customHeight="1" x14ac:dyDescent="0.3">
      <c r="B868" s="7"/>
      <c r="C868" s="8"/>
    </row>
    <row r="869" spans="2:3" ht="13.5" customHeight="1" x14ac:dyDescent="0.3">
      <c r="B869" s="7"/>
      <c r="C869" s="8"/>
    </row>
    <row r="870" spans="2:3" ht="13.5" customHeight="1" x14ac:dyDescent="0.3">
      <c r="B870" s="7"/>
      <c r="C870" s="8"/>
    </row>
    <row r="871" spans="2:3" ht="13.5" customHeight="1" x14ac:dyDescent="0.3">
      <c r="B871" s="7"/>
      <c r="C871" s="8"/>
    </row>
    <row r="872" spans="2:3" ht="13.5" customHeight="1" x14ac:dyDescent="0.3">
      <c r="B872" s="7"/>
      <c r="C872" s="8"/>
    </row>
    <row r="873" spans="2:3" ht="13.5" customHeight="1" x14ac:dyDescent="0.3">
      <c r="B873" s="7"/>
      <c r="C873" s="8"/>
    </row>
    <row r="874" spans="2:3" ht="13.5" customHeight="1" x14ac:dyDescent="0.3">
      <c r="B874" s="7"/>
      <c r="C874" s="8"/>
    </row>
    <row r="875" spans="2:3" ht="13.5" customHeight="1" x14ac:dyDescent="0.3">
      <c r="B875" s="7"/>
      <c r="C875" s="8"/>
    </row>
    <row r="876" spans="2:3" ht="13.5" customHeight="1" x14ac:dyDescent="0.3">
      <c r="B876" s="7"/>
      <c r="C876" s="8"/>
    </row>
    <row r="877" spans="2:3" ht="13.5" customHeight="1" x14ac:dyDescent="0.3">
      <c r="B877" s="7"/>
      <c r="C877" s="8"/>
    </row>
    <row r="878" spans="2:3" ht="13.5" customHeight="1" x14ac:dyDescent="0.3">
      <c r="B878" s="7"/>
      <c r="C878" s="8"/>
    </row>
    <row r="879" spans="2:3" ht="13.5" customHeight="1" x14ac:dyDescent="0.3">
      <c r="B879" s="7"/>
      <c r="C879" s="8"/>
    </row>
    <row r="880" spans="2:3" ht="13.5" customHeight="1" x14ac:dyDescent="0.3">
      <c r="B880" s="7"/>
      <c r="C880" s="8"/>
    </row>
    <row r="881" spans="2:3" ht="13.5" customHeight="1" x14ac:dyDescent="0.3">
      <c r="B881" s="7"/>
      <c r="C881" s="8"/>
    </row>
    <row r="882" spans="2:3" ht="13.5" customHeight="1" x14ac:dyDescent="0.3">
      <c r="B882" s="7"/>
      <c r="C882" s="8"/>
    </row>
    <row r="883" spans="2:3" ht="13.5" customHeight="1" x14ac:dyDescent="0.3">
      <c r="B883" s="7"/>
      <c r="C883" s="8"/>
    </row>
    <row r="884" spans="2:3" ht="13.5" customHeight="1" x14ac:dyDescent="0.3">
      <c r="B884" s="7"/>
      <c r="C884" s="8"/>
    </row>
    <row r="885" spans="2:3" ht="13.5" customHeight="1" x14ac:dyDescent="0.3">
      <c r="B885" s="7"/>
      <c r="C885" s="8"/>
    </row>
    <row r="886" spans="2:3" ht="13.5" customHeight="1" x14ac:dyDescent="0.3">
      <c r="B886" s="7"/>
      <c r="C886" s="8"/>
    </row>
    <row r="887" spans="2:3" ht="13.5" customHeight="1" x14ac:dyDescent="0.3">
      <c r="B887" s="7"/>
      <c r="C887" s="8"/>
    </row>
    <row r="888" spans="2:3" ht="13.5" customHeight="1" x14ac:dyDescent="0.3">
      <c r="B888" s="7"/>
      <c r="C888" s="8"/>
    </row>
    <row r="889" spans="2:3" ht="13.5" customHeight="1" x14ac:dyDescent="0.3">
      <c r="B889" s="7"/>
      <c r="C889" s="8"/>
    </row>
    <row r="890" spans="2:3" ht="13.5" customHeight="1" x14ac:dyDescent="0.3">
      <c r="B890" s="7"/>
      <c r="C890" s="8"/>
    </row>
    <row r="891" spans="2:3" ht="13.5" customHeight="1" x14ac:dyDescent="0.3">
      <c r="B891" s="7"/>
      <c r="C891" s="8"/>
    </row>
    <row r="892" spans="2:3" ht="13.5" customHeight="1" x14ac:dyDescent="0.3">
      <c r="B892" s="7"/>
      <c r="C892" s="8"/>
    </row>
    <row r="893" spans="2:3" ht="13.5" customHeight="1" x14ac:dyDescent="0.3">
      <c r="B893" s="7"/>
      <c r="C893" s="8"/>
    </row>
    <row r="894" spans="2:3" ht="13.5" customHeight="1" x14ac:dyDescent="0.3">
      <c r="B894" s="7"/>
      <c r="C894" s="8"/>
    </row>
    <row r="895" spans="2:3" ht="13.5" customHeight="1" x14ac:dyDescent="0.3">
      <c r="B895" s="7"/>
      <c r="C895" s="8"/>
    </row>
    <row r="896" spans="2:3" ht="13.5" customHeight="1" x14ac:dyDescent="0.3">
      <c r="B896" s="7"/>
      <c r="C896" s="8"/>
    </row>
    <row r="897" spans="2:3" ht="13.5" customHeight="1" x14ac:dyDescent="0.3">
      <c r="B897" s="7"/>
      <c r="C897" s="8"/>
    </row>
    <row r="898" spans="2:3" ht="13.5" customHeight="1" x14ac:dyDescent="0.3">
      <c r="B898" s="7"/>
      <c r="C898" s="8"/>
    </row>
    <row r="899" spans="2:3" ht="13.5" customHeight="1" x14ac:dyDescent="0.3">
      <c r="B899" s="7"/>
      <c r="C899" s="8"/>
    </row>
    <row r="900" spans="2:3" ht="13.5" customHeight="1" x14ac:dyDescent="0.3">
      <c r="B900" s="7"/>
      <c r="C900" s="8"/>
    </row>
    <row r="901" spans="2:3" ht="13.5" customHeight="1" x14ac:dyDescent="0.3">
      <c r="B901" s="7"/>
      <c r="C901" s="8"/>
    </row>
    <row r="902" spans="2:3" ht="13.5" customHeight="1" x14ac:dyDescent="0.3">
      <c r="B902" s="7"/>
      <c r="C902" s="8"/>
    </row>
    <row r="903" spans="2:3" ht="13.5" customHeight="1" x14ac:dyDescent="0.3">
      <c r="B903" s="7"/>
      <c r="C903" s="8"/>
    </row>
    <row r="904" spans="2:3" ht="13.5" customHeight="1" x14ac:dyDescent="0.3">
      <c r="B904" s="7"/>
      <c r="C904" s="8"/>
    </row>
    <row r="905" spans="2:3" ht="13.5" customHeight="1" x14ac:dyDescent="0.3">
      <c r="B905" s="7"/>
      <c r="C905" s="8"/>
    </row>
    <row r="906" spans="2:3" ht="13.5" customHeight="1" x14ac:dyDescent="0.3">
      <c r="B906" s="7"/>
      <c r="C906" s="8"/>
    </row>
    <row r="907" spans="2:3" ht="13.5" customHeight="1" x14ac:dyDescent="0.3">
      <c r="B907" s="7"/>
      <c r="C907" s="8"/>
    </row>
    <row r="908" spans="2:3" ht="13.5" customHeight="1" x14ac:dyDescent="0.3">
      <c r="B908" s="7"/>
      <c r="C908" s="8"/>
    </row>
    <row r="909" spans="2:3" ht="13.5" customHeight="1" x14ac:dyDescent="0.3">
      <c r="B909" s="7"/>
      <c r="C909" s="8"/>
    </row>
    <row r="910" spans="2:3" ht="13.5" customHeight="1" x14ac:dyDescent="0.3">
      <c r="B910" s="7"/>
      <c r="C910" s="8"/>
    </row>
    <row r="911" spans="2:3" ht="13.5" customHeight="1" x14ac:dyDescent="0.3">
      <c r="B911" s="7"/>
      <c r="C911" s="8"/>
    </row>
    <row r="912" spans="2:3" ht="13.5" customHeight="1" x14ac:dyDescent="0.3">
      <c r="B912" s="7"/>
      <c r="C912" s="8"/>
    </row>
    <row r="913" spans="2:3" ht="13.5" customHeight="1" x14ac:dyDescent="0.3">
      <c r="B913" s="7"/>
      <c r="C913" s="8"/>
    </row>
    <row r="914" spans="2:3" ht="13.5" customHeight="1" x14ac:dyDescent="0.3">
      <c r="B914" s="7"/>
      <c r="C914" s="8"/>
    </row>
    <row r="915" spans="2:3" ht="13.5" customHeight="1" x14ac:dyDescent="0.3">
      <c r="B915" s="7"/>
      <c r="C915" s="8"/>
    </row>
    <row r="916" spans="2:3" ht="13.5" customHeight="1" x14ac:dyDescent="0.3">
      <c r="B916" s="7"/>
      <c r="C916" s="8"/>
    </row>
    <row r="917" spans="2:3" ht="13.5" customHeight="1" x14ac:dyDescent="0.3">
      <c r="B917" s="7"/>
      <c r="C917" s="8"/>
    </row>
    <row r="918" spans="2:3" ht="13.5" customHeight="1" x14ac:dyDescent="0.3">
      <c r="B918" s="7"/>
      <c r="C918" s="8"/>
    </row>
    <row r="919" spans="2:3" ht="13.5" customHeight="1" x14ac:dyDescent="0.3">
      <c r="B919" s="7"/>
      <c r="C919" s="8"/>
    </row>
    <row r="920" spans="2:3" ht="13.5" customHeight="1" x14ac:dyDescent="0.3">
      <c r="B920" s="7"/>
      <c r="C920" s="8"/>
    </row>
    <row r="921" spans="2:3" ht="13.5" customHeight="1" x14ac:dyDescent="0.3">
      <c r="B921" s="7"/>
      <c r="C921" s="8"/>
    </row>
    <row r="922" spans="2:3" ht="13.5" customHeight="1" x14ac:dyDescent="0.3">
      <c r="B922" s="7"/>
      <c r="C922" s="8"/>
    </row>
    <row r="923" spans="2:3" ht="13.5" customHeight="1" x14ac:dyDescent="0.3">
      <c r="B923" s="7"/>
      <c r="C923" s="8"/>
    </row>
    <row r="924" spans="2:3" ht="13.5" customHeight="1" x14ac:dyDescent="0.3">
      <c r="B924" s="7"/>
      <c r="C924" s="8"/>
    </row>
    <row r="925" spans="2:3" ht="13.5" customHeight="1" x14ac:dyDescent="0.3">
      <c r="B925" s="7"/>
      <c r="C925" s="8"/>
    </row>
    <row r="926" spans="2:3" ht="13.5" customHeight="1" x14ac:dyDescent="0.3">
      <c r="B926" s="7"/>
      <c r="C926" s="8"/>
    </row>
    <row r="927" spans="2:3" ht="13.5" customHeight="1" x14ac:dyDescent="0.3">
      <c r="B927" s="7"/>
      <c r="C927" s="8"/>
    </row>
    <row r="928" spans="2:3" ht="13.5" customHeight="1" x14ac:dyDescent="0.3">
      <c r="B928" s="7"/>
      <c r="C928" s="8"/>
    </row>
    <row r="929" spans="2:3" ht="13.5" customHeight="1" x14ac:dyDescent="0.3">
      <c r="B929" s="7"/>
      <c r="C929" s="8"/>
    </row>
    <row r="930" spans="2:3" ht="13.5" customHeight="1" x14ac:dyDescent="0.3">
      <c r="B930" s="7"/>
      <c r="C930" s="8"/>
    </row>
    <row r="931" spans="2:3" ht="13.5" customHeight="1" x14ac:dyDescent="0.3">
      <c r="B931" s="7"/>
      <c r="C931" s="8"/>
    </row>
    <row r="932" spans="2:3" ht="13.5" customHeight="1" x14ac:dyDescent="0.3">
      <c r="B932" s="7"/>
      <c r="C932" s="8"/>
    </row>
    <row r="933" spans="2:3" ht="13.5" customHeight="1" x14ac:dyDescent="0.3">
      <c r="B933" s="7"/>
      <c r="C933" s="8"/>
    </row>
    <row r="934" spans="2:3" ht="13.5" customHeight="1" x14ac:dyDescent="0.3">
      <c r="B934" s="7"/>
      <c r="C934" s="8"/>
    </row>
    <row r="935" spans="2:3" ht="13.5" customHeight="1" x14ac:dyDescent="0.3">
      <c r="B935" s="7"/>
      <c r="C935" s="8"/>
    </row>
    <row r="936" spans="2:3" ht="13.5" customHeight="1" x14ac:dyDescent="0.3">
      <c r="B936" s="7"/>
      <c r="C936" s="8"/>
    </row>
    <row r="937" spans="2:3" ht="13.5" customHeight="1" x14ac:dyDescent="0.3">
      <c r="B937" s="7"/>
      <c r="C937" s="8"/>
    </row>
    <row r="938" spans="2:3" ht="13.5" customHeight="1" x14ac:dyDescent="0.3">
      <c r="B938" s="7"/>
      <c r="C938" s="8"/>
    </row>
    <row r="939" spans="2:3" ht="13.5" customHeight="1" x14ac:dyDescent="0.3">
      <c r="B939" s="7"/>
      <c r="C939" s="8"/>
    </row>
    <row r="940" spans="2:3" ht="13.5" customHeight="1" x14ac:dyDescent="0.3">
      <c r="B940" s="7"/>
      <c r="C940" s="8"/>
    </row>
    <row r="941" spans="2:3" ht="13.5" customHeight="1" x14ac:dyDescent="0.3">
      <c r="B941" s="7"/>
      <c r="C941" s="8"/>
    </row>
    <row r="942" spans="2:3" ht="13.5" customHeight="1" x14ac:dyDescent="0.3">
      <c r="B942" s="7"/>
      <c r="C942" s="8"/>
    </row>
    <row r="943" spans="2:3" ht="13.5" customHeight="1" x14ac:dyDescent="0.3">
      <c r="B943" s="7"/>
      <c r="C943" s="8"/>
    </row>
    <row r="944" spans="2:3" ht="13.5" customHeight="1" x14ac:dyDescent="0.3">
      <c r="B944" s="7"/>
      <c r="C944" s="8"/>
    </row>
    <row r="945" spans="2:3" ht="13.5" customHeight="1" x14ac:dyDescent="0.3">
      <c r="B945" s="7"/>
      <c r="C945" s="8"/>
    </row>
    <row r="946" spans="2:3" ht="13.5" customHeight="1" x14ac:dyDescent="0.3">
      <c r="B946" s="7"/>
      <c r="C946" s="8"/>
    </row>
    <row r="947" spans="2:3" ht="13.5" customHeight="1" x14ac:dyDescent="0.3">
      <c r="B947" s="7"/>
      <c r="C947" s="8"/>
    </row>
    <row r="948" spans="2:3" ht="13.5" customHeight="1" x14ac:dyDescent="0.3">
      <c r="B948" s="7"/>
      <c r="C948" s="8"/>
    </row>
    <row r="949" spans="2:3" ht="13.5" customHeight="1" x14ac:dyDescent="0.3">
      <c r="B949" s="7"/>
      <c r="C949" s="8"/>
    </row>
    <row r="950" spans="2:3" ht="13.5" customHeight="1" x14ac:dyDescent="0.3">
      <c r="B950" s="7"/>
      <c r="C950" s="8"/>
    </row>
    <row r="951" spans="2:3" ht="13.5" customHeight="1" x14ac:dyDescent="0.3">
      <c r="B951" s="7"/>
      <c r="C951" s="8"/>
    </row>
    <row r="952" spans="2:3" ht="13.5" customHeight="1" x14ac:dyDescent="0.3">
      <c r="B952" s="7"/>
      <c r="C952" s="8"/>
    </row>
    <row r="953" spans="2:3" ht="13.5" customHeight="1" x14ac:dyDescent="0.3">
      <c r="B953" s="7"/>
      <c r="C953" s="8"/>
    </row>
    <row r="954" spans="2:3" ht="13.5" customHeight="1" x14ac:dyDescent="0.3">
      <c r="B954" s="7"/>
      <c r="C954" s="8"/>
    </row>
    <row r="955" spans="2:3" ht="13.5" customHeight="1" x14ac:dyDescent="0.3">
      <c r="B955" s="7"/>
      <c r="C955" s="8"/>
    </row>
    <row r="956" spans="2:3" ht="13.5" customHeight="1" x14ac:dyDescent="0.3">
      <c r="B956" s="7"/>
      <c r="C956" s="8"/>
    </row>
    <row r="957" spans="2:3" ht="13.5" customHeight="1" x14ac:dyDescent="0.3">
      <c r="B957" s="7"/>
      <c r="C957" s="8"/>
    </row>
    <row r="958" spans="2:3" ht="13.5" customHeight="1" x14ac:dyDescent="0.3">
      <c r="B958" s="7"/>
      <c r="C958" s="8"/>
    </row>
    <row r="959" spans="2:3" ht="13.5" customHeight="1" x14ac:dyDescent="0.3">
      <c r="B959" s="7"/>
      <c r="C959" s="8"/>
    </row>
    <row r="960" spans="2:3" ht="13.5" customHeight="1" x14ac:dyDescent="0.3">
      <c r="B960" s="7"/>
      <c r="C960" s="8"/>
    </row>
    <row r="961" spans="2:3" ht="13.5" customHeight="1" x14ac:dyDescent="0.3">
      <c r="B961" s="7"/>
      <c r="C961" s="8"/>
    </row>
    <row r="962" spans="2:3" ht="13.5" customHeight="1" x14ac:dyDescent="0.3">
      <c r="B962" s="7"/>
      <c r="C962" s="8"/>
    </row>
    <row r="963" spans="2:3" ht="13.5" customHeight="1" x14ac:dyDescent="0.3">
      <c r="B963" s="7"/>
      <c r="C963" s="8"/>
    </row>
    <row r="964" spans="2:3" ht="13.5" customHeight="1" x14ac:dyDescent="0.3">
      <c r="B964" s="7"/>
      <c r="C964" s="8"/>
    </row>
    <row r="965" spans="2:3" ht="13.5" customHeight="1" x14ac:dyDescent="0.3">
      <c r="B965" s="7"/>
      <c r="C965" s="8"/>
    </row>
    <row r="966" spans="2:3" ht="13.5" customHeight="1" x14ac:dyDescent="0.3">
      <c r="B966" s="7"/>
      <c r="C966" s="8"/>
    </row>
    <row r="967" spans="2:3" ht="13.5" customHeight="1" x14ac:dyDescent="0.3">
      <c r="B967" s="7"/>
      <c r="C967" s="8"/>
    </row>
    <row r="968" spans="2:3" ht="13.5" customHeight="1" x14ac:dyDescent="0.3">
      <c r="B968" s="7"/>
      <c r="C968" s="8"/>
    </row>
    <row r="969" spans="2:3" ht="13.5" customHeight="1" x14ac:dyDescent="0.3">
      <c r="B969" s="7"/>
      <c r="C969" s="8"/>
    </row>
    <row r="970" spans="2:3" ht="13.5" customHeight="1" x14ac:dyDescent="0.3">
      <c r="B970" s="7"/>
      <c r="C970" s="8"/>
    </row>
    <row r="971" spans="2:3" ht="13.5" customHeight="1" x14ac:dyDescent="0.3">
      <c r="B971" s="7"/>
      <c r="C971" s="8"/>
    </row>
    <row r="972" spans="2:3" ht="13.5" customHeight="1" x14ac:dyDescent="0.3">
      <c r="B972" s="7"/>
      <c r="C972" s="8"/>
    </row>
    <row r="973" spans="2:3" ht="13.5" customHeight="1" x14ac:dyDescent="0.3">
      <c r="B973" s="7"/>
      <c r="C973" s="8"/>
    </row>
    <row r="974" spans="2:3" ht="13.5" customHeight="1" x14ac:dyDescent="0.3">
      <c r="B974" s="7"/>
      <c r="C974" s="8"/>
    </row>
    <row r="975" spans="2:3" ht="13.5" customHeight="1" x14ac:dyDescent="0.3">
      <c r="B975" s="7"/>
      <c r="C975" s="8"/>
    </row>
    <row r="976" spans="2:3" ht="13.5" customHeight="1" x14ac:dyDescent="0.3">
      <c r="B976" s="7"/>
      <c r="C976" s="8"/>
    </row>
    <row r="977" spans="2:3" ht="13.5" customHeight="1" x14ac:dyDescent="0.3">
      <c r="B977" s="7"/>
      <c r="C977" s="8"/>
    </row>
    <row r="978" spans="2:3" ht="13.5" customHeight="1" x14ac:dyDescent="0.3">
      <c r="B978" s="7"/>
      <c r="C978" s="8"/>
    </row>
    <row r="979" spans="2:3" ht="13.5" customHeight="1" x14ac:dyDescent="0.3">
      <c r="B979" s="7"/>
      <c r="C979" s="8"/>
    </row>
    <row r="980" spans="2:3" ht="13.5" customHeight="1" x14ac:dyDescent="0.3">
      <c r="B980" s="7"/>
      <c r="C980" s="8"/>
    </row>
    <row r="981" spans="2:3" ht="13.5" customHeight="1" x14ac:dyDescent="0.3">
      <c r="B981" s="7"/>
      <c r="C981" s="8"/>
    </row>
    <row r="982" spans="2:3" ht="13.5" customHeight="1" x14ac:dyDescent="0.3">
      <c r="B982" s="7"/>
      <c r="C982" s="8"/>
    </row>
    <row r="983" spans="2:3" ht="13.5" customHeight="1" x14ac:dyDescent="0.3">
      <c r="B983" s="7"/>
      <c r="C983" s="8"/>
    </row>
    <row r="984" spans="2:3" ht="13.5" customHeight="1" x14ac:dyDescent="0.3">
      <c r="B984" s="7"/>
      <c r="C984" s="8"/>
    </row>
    <row r="985" spans="2:3" ht="13.5" customHeight="1" x14ac:dyDescent="0.3">
      <c r="B985" s="7"/>
      <c r="C985" s="8"/>
    </row>
    <row r="986" spans="2:3" ht="13.5" customHeight="1" x14ac:dyDescent="0.3">
      <c r="B986" s="7"/>
      <c r="C986" s="8"/>
    </row>
    <row r="987" spans="2:3" ht="13.5" customHeight="1" x14ac:dyDescent="0.3">
      <c r="B987" s="7"/>
      <c r="C987" s="8"/>
    </row>
    <row r="988" spans="2:3" ht="13.5" customHeight="1" x14ac:dyDescent="0.3">
      <c r="B988" s="7"/>
      <c r="C988" s="8"/>
    </row>
    <row r="989" spans="2:3" ht="13.5" customHeight="1" x14ac:dyDescent="0.3">
      <c r="B989" s="7"/>
      <c r="C989" s="8"/>
    </row>
    <row r="990" spans="2:3" ht="13.5" customHeight="1" x14ac:dyDescent="0.3">
      <c r="B990" s="7"/>
      <c r="C990" s="8"/>
    </row>
    <row r="991" spans="2:3" ht="13.5" customHeight="1" x14ac:dyDescent="0.3">
      <c r="B991" s="7"/>
      <c r="C991" s="8"/>
    </row>
    <row r="992" spans="2:3" ht="13.5" customHeight="1" x14ac:dyDescent="0.3">
      <c r="B992" s="7"/>
      <c r="C992" s="8"/>
    </row>
    <row r="993" spans="2:3" ht="13.5" customHeight="1" x14ac:dyDescent="0.3">
      <c r="B993" s="7"/>
      <c r="C993" s="8"/>
    </row>
    <row r="994" spans="2:3" ht="13.5" customHeight="1" x14ac:dyDescent="0.3">
      <c r="B994" s="7"/>
      <c r="C994" s="8"/>
    </row>
    <row r="995" spans="2:3" ht="13.5" customHeight="1" x14ac:dyDescent="0.3">
      <c r="B995" s="7"/>
      <c r="C995" s="8"/>
    </row>
    <row r="996" spans="2:3" ht="13.5" customHeight="1" x14ac:dyDescent="0.3">
      <c r="B996" s="7"/>
      <c r="C996" s="8"/>
    </row>
    <row r="997" spans="2:3" ht="13.5" customHeight="1" x14ac:dyDescent="0.3">
      <c r="B997" s="7"/>
      <c r="C997" s="8"/>
    </row>
    <row r="998" spans="2:3" ht="13.5" customHeight="1" x14ac:dyDescent="0.3">
      <c r="B998" s="7"/>
      <c r="C998" s="8"/>
    </row>
    <row r="999" spans="2:3" ht="13.5" customHeight="1" x14ac:dyDescent="0.3">
      <c r="B999" s="7"/>
      <c r="C999" s="8"/>
    </row>
    <row r="1000" spans="2:3" ht="13.5" customHeight="1" x14ac:dyDescent="0.3">
      <c r="B1000" s="7"/>
      <c r="C1000" s="8"/>
    </row>
  </sheetData>
  <mergeCells count="16">
    <mergeCell ref="B5:C5"/>
    <mergeCell ref="K3:K6"/>
    <mergeCell ref="E4:E6"/>
    <mergeCell ref="I4:I6"/>
    <mergeCell ref="J49:K49"/>
    <mergeCell ref="AA44:AB44"/>
    <mergeCell ref="H2:H6"/>
    <mergeCell ref="J45:K45"/>
    <mergeCell ref="F5:F6"/>
    <mergeCell ref="J47:K47"/>
    <mergeCell ref="L3:U6"/>
    <mergeCell ref="J48:K48"/>
    <mergeCell ref="G4:G6"/>
    <mergeCell ref="J4:J6"/>
    <mergeCell ref="J44:K44"/>
    <mergeCell ref="J46:K4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1000"/>
  <sheetViews>
    <sheetView workbookViewId="0"/>
  </sheetViews>
  <sheetFormatPr defaultColWidth="14.44140625" defaultRowHeight="13.8" x14ac:dyDescent="0.3"/>
  <cols>
    <col min="1" max="1" width="5.6640625" customWidth="1"/>
    <col min="2" max="26" width="8.6640625" customWidth="1"/>
  </cols>
  <sheetData>
    <row r="1" spans="2:11" ht="13.5" customHeight="1" x14ac:dyDescent="0.3"/>
    <row r="2" spans="2:11" ht="13.5" customHeight="1" x14ac:dyDescent="0.3"/>
    <row r="3" spans="2:11" ht="13.5" customHeight="1" x14ac:dyDescent="0.3"/>
    <row r="4" spans="2:11" ht="13.2" customHeight="1" x14ac:dyDescent="0.3"/>
    <row r="5" spans="2:11" ht="13.5" customHeight="1" x14ac:dyDescent="0.4">
      <c r="B5" s="2" t="s">
        <v>346</v>
      </c>
    </row>
    <row r="6" spans="2:11" ht="13.5" customHeight="1" x14ac:dyDescent="0.3"/>
    <row r="7" spans="2:11" ht="13.5" customHeight="1" x14ac:dyDescent="0.3">
      <c r="B7" t="s">
        <v>347</v>
      </c>
    </row>
    <row r="8" spans="2:11" ht="13.5" customHeight="1" x14ac:dyDescent="0.3">
      <c r="B8" s="19" t="s">
        <v>290</v>
      </c>
      <c r="K8" s="19" t="s">
        <v>291</v>
      </c>
    </row>
    <row r="9" spans="2:11" ht="13.5" customHeight="1" x14ac:dyDescent="0.3"/>
    <row r="10" spans="2:11" ht="13.5" customHeight="1" x14ac:dyDescent="0.3"/>
    <row r="11" spans="2:11" ht="13.5" customHeight="1" x14ac:dyDescent="0.3"/>
    <row r="12" spans="2:11" ht="13.5" customHeight="1" x14ac:dyDescent="0.3"/>
    <row r="13" spans="2:11" ht="13.5" customHeight="1" x14ac:dyDescent="0.3"/>
    <row r="14" spans="2:11" ht="13.5" customHeight="1" x14ac:dyDescent="0.3"/>
    <row r="15" spans="2:11" ht="13.5" customHeight="1" x14ac:dyDescent="0.3"/>
    <row r="16" spans="2:11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ADB"/>
  </sheetPr>
  <dimension ref="B1:AB1000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4.44140625" defaultRowHeight="13.8" x14ac:dyDescent="0.3"/>
  <cols>
    <col min="1" max="1" width="5.44140625" customWidth="1"/>
    <col min="2" max="3" width="11.44140625" customWidth="1"/>
    <col min="4" max="4" width="42" customWidth="1"/>
    <col min="5" max="5" width="25" customWidth="1"/>
    <col min="6" max="6" width="13.33203125" customWidth="1"/>
    <col min="7" max="7" width="12.5546875" customWidth="1"/>
    <col min="8" max="11" width="11.5546875" customWidth="1"/>
    <col min="12" max="26" width="5.44140625" customWidth="1"/>
  </cols>
  <sheetData>
    <row r="1" spans="2:26" ht="13.5" customHeight="1" x14ac:dyDescent="0.3">
      <c r="B1" s="7"/>
      <c r="C1" s="8"/>
    </row>
    <row r="2" spans="2:26" ht="13.5" customHeight="1" x14ac:dyDescent="0.3">
      <c r="B2" s="7"/>
      <c r="C2" s="8"/>
      <c r="H2" s="85" t="s">
        <v>226</v>
      </c>
    </row>
    <row r="3" spans="2:26" ht="13.5" customHeight="1" x14ac:dyDescent="0.3">
      <c r="B3" s="7"/>
      <c r="C3" s="8"/>
      <c r="H3" s="79"/>
      <c r="K3" s="89" t="s">
        <v>227</v>
      </c>
      <c r="L3" s="86" t="s">
        <v>228</v>
      </c>
      <c r="M3" s="79"/>
      <c r="N3" s="79"/>
      <c r="O3" s="79"/>
      <c r="P3" s="79"/>
      <c r="Q3" s="79"/>
      <c r="R3" s="79"/>
      <c r="S3" s="79"/>
      <c r="T3" s="79"/>
      <c r="U3" s="79"/>
    </row>
    <row r="4" spans="2:26" ht="12.75" customHeight="1" x14ac:dyDescent="0.3">
      <c r="B4" s="7"/>
      <c r="C4" s="8"/>
      <c r="E4" s="87" t="s">
        <v>229</v>
      </c>
      <c r="G4" s="90" t="s">
        <v>230</v>
      </c>
      <c r="H4" s="79"/>
      <c r="I4" s="89" t="s">
        <v>231</v>
      </c>
      <c r="J4" s="85" t="s">
        <v>232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2:26" ht="18" customHeight="1" x14ac:dyDescent="0.3">
      <c r="B5" s="88" t="s">
        <v>233</v>
      </c>
      <c r="C5" s="79"/>
      <c r="E5" s="79"/>
      <c r="F5" s="87" t="s">
        <v>234</v>
      </c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</row>
    <row r="6" spans="2:26" ht="13.5" customHeight="1" x14ac:dyDescent="0.3">
      <c r="B6" s="9"/>
      <c r="C6" s="8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</row>
    <row r="7" spans="2:26" ht="34.5" customHeight="1" x14ac:dyDescent="0.3">
      <c r="B7" s="69" t="s">
        <v>235</v>
      </c>
      <c r="C7" s="69" t="s">
        <v>236</v>
      </c>
      <c r="D7" s="69" t="s">
        <v>44</v>
      </c>
      <c r="E7" s="69" t="s">
        <v>65</v>
      </c>
      <c r="F7" s="69" t="s">
        <v>20</v>
      </c>
      <c r="G7" s="69" t="s">
        <v>237</v>
      </c>
      <c r="H7" s="69" t="s">
        <v>238</v>
      </c>
      <c r="I7" s="69" t="s">
        <v>239</v>
      </c>
      <c r="J7" s="69" t="s">
        <v>240</v>
      </c>
      <c r="K7" s="69" t="s">
        <v>241</v>
      </c>
      <c r="L7" s="69" t="s">
        <v>242</v>
      </c>
      <c r="M7" s="69" t="s">
        <v>243</v>
      </c>
      <c r="N7" s="69" t="s">
        <v>244</v>
      </c>
      <c r="O7" s="69" t="s">
        <v>245</v>
      </c>
      <c r="P7" s="69" t="s">
        <v>246</v>
      </c>
      <c r="Q7" s="69" t="s">
        <v>247</v>
      </c>
      <c r="R7" s="69" t="s">
        <v>248</v>
      </c>
      <c r="S7" s="69" t="s">
        <v>249</v>
      </c>
      <c r="T7" s="69" t="s">
        <v>250</v>
      </c>
      <c r="U7" s="69" t="s">
        <v>251</v>
      </c>
      <c r="V7" s="69" t="s">
        <v>252</v>
      </c>
      <c r="W7" s="69" t="s">
        <v>253</v>
      </c>
      <c r="X7" s="69" t="s">
        <v>254</v>
      </c>
      <c r="Y7" s="69" t="s">
        <v>255</v>
      </c>
      <c r="Z7" s="69" t="s">
        <v>256</v>
      </c>
    </row>
    <row r="8" spans="2:26" ht="13.5" customHeight="1" x14ac:dyDescent="0.3">
      <c r="B8" s="25" t="s">
        <v>348</v>
      </c>
      <c r="C8" s="25" t="s">
        <v>161</v>
      </c>
      <c r="D8" s="25" t="s">
        <v>349</v>
      </c>
      <c r="E8" s="25" t="s">
        <v>13</v>
      </c>
      <c r="F8" s="25" t="s">
        <v>259</v>
      </c>
      <c r="G8" s="70">
        <v>12</v>
      </c>
      <c r="H8" s="71">
        <f t="shared" ref="H8:H21" si="0">SUM(L8:Z8)</f>
        <v>0</v>
      </c>
      <c r="I8" s="71">
        <f t="shared" ref="I8:I21" si="1">G8-H8</f>
        <v>12</v>
      </c>
      <c r="J8" s="71">
        <v>0</v>
      </c>
      <c r="K8" s="71" t="str">
        <f t="shared" ref="K8:K21" si="2">IF(F8="Done",J8-G8,"")</f>
        <v/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2:26" ht="13.5" customHeight="1" x14ac:dyDescent="0.3">
      <c r="B9" s="25" t="s">
        <v>350</v>
      </c>
      <c r="C9" s="25" t="s">
        <v>167</v>
      </c>
      <c r="D9" s="25" t="s">
        <v>351</v>
      </c>
      <c r="E9" s="25" t="s">
        <v>13</v>
      </c>
      <c r="F9" s="25" t="s">
        <v>259</v>
      </c>
      <c r="G9" s="70">
        <v>16</v>
      </c>
      <c r="H9" s="71">
        <f t="shared" si="0"/>
        <v>0</v>
      </c>
      <c r="I9" s="71">
        <f t="shared" si="1"/>
        <v>16</v>
      </c>
      <c r="J9" s="71">
        <v>0</v>
      </c>
      <c r="K9" s="71" t="str">
        <f t="shared" si="2"/>
        <v/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2:26" ht="13.5" customHeight="1" x14ac:dyDescent="0.3">
      <c r="B10" s="25" t="s">
        <v>352</v>
      </c>
      <c r="C10" s="25" t="s">
        <v>174</v>
      </c>
      <c r="D10" s="25" t="s">
        <v>353</v>
      </c>
      <c r="E10" s="25" t="s">
        <v>10</v>
      </c>
      <c r="F10" s="72" t="s">
        <v>259</v>
      </c>
      <c r="G10" s="70">
        <v>18</v>
      </c>
      <c r="H10" s="71">
        <f t="shared" si="0"/>
        <v>0</v>
      </c>
      <c r="I10" s="71">
        <f t="shared" si="1"/>
        <v>18</v>
      </c>
      <c r="J10" s="71">
        <v>0</v>
      </c>
      <c r="K10" s="71" t="str">
        <f t="shared" si="2"/>
        <v/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2:26" ht="13.5" customHeight="1" x14ac:dyDescent="0.3">
      <c r="B11" s="25" t="s">
        <v>354</v>
      </c>
      <c r="C11" s="25" t="s">
        <v>174</v>
      </c>
      <c r="D11" s="25" t="s">
        <v>355</v>
      </c>
      <c r="E11" s="25" t="s">
        <v>10</v>
      </c>
      <c r="F11" s="25" t="s">
        <v>259</v>
      </c>
      <c r="G11" s="70">
        <v>10</v>
      </c>
      <c r="H11" s="71">
        <f t="shared" si="0"/>
        <v>0</v>
      </c>
      <c r="I11" s="71">
        <f t="shared" si="1"/>
        <v>10</v>
      </c>
      <c r="J11" s="71">
        <v>0</v>
      </c>
      <c r="K11" s="71" t="str">
        <f t="shared" si="2"/>
        <v/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2:26" ht="13.5" customHeight="1" x14ac:dyDescent="0.3">
      <c r="B12" s="25" t="s">
        <v>356</v>
      </c>
      <c r="C12" s="25" t="s">
        <v>182</v>
      </c>
      <c r="D12" s="25" t="s">
        <v>357</v>
      </c>
      <c r="E12" s="25" t="s">
        <v>13</v>
      </c>
      <c r="F12" s="25" t="s">
        <v>259</v>
      </c>
      <c r="G12" s="70">
        <v>14</v>
      </c>
      <c r="H12" s="71">
        <f t="shared" si="0"/>
        <v>0</v>
      </c>
      <c r="I12" s="71">
        <f t="shared" si="1"/>
        <v>14</v>
      </c>
      <c r="J12" s="71">
        <v>0</v>
      </c>
      <c r="K12" s="71" t="str">
        <f t="shared" si="2"/>
        <v/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2:26" ht="13.5" customHeight="1" x14ac:dyDescent="0.3">
      <c r="B13" s="25" t="s">
        <v>358</v>
      </c>
      <c r="C13" s="25" t="s">
        <v>221</v>
      </c>
      <c r="D13" s="25" t="s">
        <v>359</v>
      </c>
      <c r="E13" s="25" t="s">
        <v>3</v>
      </c>
      <c r="F13" s="25" t="s">
        <v>259</v>
      </c>
      <c r="G13" s="70">
        <v>10</v>
      </c>
      <c r="H13" s="71">
        <f t="shared" si="0"/>
        <v>0</v>
      </c>
      <c r="I13" s="71">
        <f t="shared" si="1"/>
        <v>10</v>
      </c>
      <c r="J13" s="71">
        <v>0</v>
      </c>
      <c r="K13" s="71" t="str">
        <f t="shared" si="2"/>
        <v/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2:26" ht="13.5" customHeight="1" x14ac:dyDescent="0.3">
      <c r="B14" s="25" t="s">
        <v>360</v>
      </c>
      <c r="C14" s="25" t="s">
        <v>221</v>
      </c>
      <c r="D14" s="25" t="s">
        <v>361</v>
      </c>
      <c r="E14" s="72" t="s">
        <v>3</v>
      </c>
      <c r="F14" s="72" t="s">
        <v>259</v>
      </c>
      <c r="G14" s="70">
        <v>10</v>
      </c>
      <c r="H14" s="71">
        <f t="shared" si="0"/>
        <v>0</v>
      </c>
      <c r="I14" s="71">
        <f t="shared" si="1"/>
        <v>10</v>
      </c>
      <c r="J14" s="71">
        <v>0</v>
      </c>
      <c r="K14" s="71" t="str">
        <f t="shared" si="2"/>
        <v/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2:26" ht="13.5" customHeight="1" x14ac:dyDescent="0.3">
      <c r="B15" s="25" t="s">
        <v>362</v>
      </c>
      <c r="C15" s="25" t="s">
        <v>221</v>
      </c>
      <c r="D15" s="25" t="s">
        <v>363</v>
      </c>
      <c r="E15" s="25" t="s">
        <v>8</v>
      </c>
      <c r="F15" s="25" t="s">
        <v>259</v>
      </c>
      <c r="G15" s="70">
        <v>10</v>
      </c>
      <c r="H15" s="71">
        <f t="shared" si="0"/>
        <v>0</v>
      </c>
      <c r="I15" s="71">
        <f t="shared" si="1"/>
        <v>10</v>
      </c>
      <c r="J15" s="71">
        <v>0</v>
      </c>
      <c r="K15" s="71" t="str">
        <f t="shared" si="2"/>
        <v/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2:26" ht="13.5" customHeight="1" x14ac:dyDescent="0.3">
      <c r="B16" s="25" t="s">
        <v>364</v>
      </c>
      <c r="C16" s="25" t="s">
        <v>221</v>
      </c>
      <c r="D16" s="25" t="s">
        <v>365</v>
      </c>
      <c r="E16" s="25" t="s">
        <v>3</v>
      </c>
      <c r="F16" s="25" t="s">
        <v>259</v>
      </c>
      <c r="G16" s="70">
        <v>12</v>
      </c>
      <c r="H16" s="71">
        <f t="shared" si="0"/>
        <v>0</v>
      </c>
      <c r="I16" s="71">
        <f t="shared" si="1"/>
        <v>12</v>
      </c>
      <c r="J16" s="71">
        <v>0</v>
      </c>
      <c r="K16" s="71" t="str">
        <f t="shared" si="2"/>
        <v/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2:26" ht="13.5" customHeight="1" x14ac:dyDescent="0.3">
      <c r="B17" s="73" t="s">
        <v>366</v>
      </c>
      <c r="C17" s="25" t="s">
        <v>221</v>
      </c>
      <c r="D17" s="25" t="s">
        <v>367</v>
      </c>
      <c r="E17" s="25" t="s">
        <v>13</v>
      </c>
      <c r="F17" s="25" t="s">
        <v>259</v>
      </c>
      <c r="G17" s="70">
        <v>18</v>
      </c>
      <c r="H17" s="71">
        <f t="shared" si="0"/>
        <v>0</v>
      </c>
      <c r="I17" s="71">
        <f t="shared" si="1"/>
        <v>18</v>
      </c>
      <c r="J17" s="71">
        <v>0</v>
      </c>
      <c r="K17" s="71" t="str">
        <f t="shared" si="2"/>
        <v/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2:26" ht="13.5" customHeight="1" x14ac:dyDescent="0.3">
      <c r="B18" s="25" t="s">
        <v>368</v>
      </c>
      <c r="C18" s="25" t="s">
        <v>215</v>
      </c>
      <c r="D18" s="25" t="s">
        <v>369</v>
      </c>
      <c r="E18" s="25" t="s">
        <v>13</v>
      </c>
      <c r="F18" s="25" t="s">
        <v>259</v>
      </c>
      <c r="G18" s="70">
        <v>10</v>
      </c>
      <c r="H18" s="71">
        <f t="shared" si="0"/>
        <v>0</v>
      </c>
      <c r="I18" s="71">
        <f t="shared" si="1"/>
        <v>10</v>
      </c>
      <c r="J18" s="71">
        <v>0</v>
      </c>
      <c r="K18" s="71" t="str">
        <f t="shared" si="2"/>
        <v/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2:26" ht="13.5" customHeight="1" x14ac:dyDescent="0.3">
      <c r="B19" s="25" t="s">
        <v>370</v>
      </c>
      <c r="C19" s="25" t="s">
        <v>167</v>
      </c>
      <c r="D19" s="25" t="s">
        <v>371</v>
      </c>
      <c r="E19" s="25" t="s">
        <v>13</v>
      </c>
      <c r="F19" s="25" t="s">
        <v>259</v>
      </c>
      <c r="G19" s="70">
        <v>10</v>
      </c>
      <c r="H19" s="71">
        <f t="shared" si="0"/>
        <v>0</v>
      </c>
      <c r="I19" s="71">
        <f t="shared" si="1"/>
        <v>10</v>
      </c>
      <c r="J19" s="71">
        <v>0</v>
      </c>
      <c r="K19" s="71" t="str">
        <f t="shared" si="2"/>
        <v/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2:26" ht="13.5" customHeight="1" x14ac:dyDescent="0.3">
      <c r="B20" s="73" t="s">
        <v>372</v>
      </c>
      <c r="C20" s="25" t="s">
        <v>182</v>
      </c>
      <c r="D20" s="25" t="s">
        <v>373</v>
      </c>
      <c r="E20" s="25" t="s">
        <v>3</v>
      </c>
      <c r="F20" s="25" t="s">
        <v>259</v>
      </c>
      <c r="G20" s="70">
        <v>10</v>
      </c>
      <c r="H20" s="71">
        <f t="shared" si="0"/>
        <v>0</v>
      </c>
      <c r="I20" s="71">
        <f t="shared" si="1"/>
        <v>10</v>
      </c>
      <c r="J20" s="71">
        <v>0</v>
      </c>
      <c r="K20" s="71" t="str">
        <f t="shared" si="2"/>
        <v/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2:26" ht="13.5" customHeight="1" x14ac:dyDescent="0.3">
      <c r="B21" s="25" t="s">
        <v>374</v>
      </c>
      <c r="C21" s="25" t="s">
        <v>182</v>
      </c>
      <c r="D21" s="25" t="s">
        <v>375</v>
      </c>
      <c r="E21" s="25" t="s">
        <v>3</v>
      </c>
      <c r="F21" s="25" t="s">
        <v>259</v>
      </c>
      <c r="G21" s="70">
        <v>12</v>
      </c>
      <c r="H21" s="71">
        <f t="shared" si="0"/>
        <v>0</v>
      </c>
      <c r="I21" s="71">
        <f t="shared" si="1"/>
        <v>12</v>
      </c>
      <c r="J21" s="71">
        <v>0</v>
      </c>
      <c r="K21" s="71" t="str">
        <f t="shared" si="2"/>
        <v/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2:26" ht="13.5" customHeight="1" x14ac:dyDescent="0.3">
      <c r="B22" s="11"/>
      <c r="C22" s="5"/>
      <c r="D22" s="36"/>
      <c r="E22" s="4"/>
      <c r="F22" s="4"/>
      <c r="G22" s="51"/>
      <c r="H22" s="52"/>
      <c r="I22" s="52"/>
      <c r="J22" s="52"/>
      <c r="K22" s="52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2:26" ht="13.5" customHeight="1" x14ac:dyDescent="0.3">
      <c r="B23" s="48"/>
      <c r="C23" s="5"/>
      <c r="D23" s="36"/>
      <c r="E23" s="4"/>
      <c r="F23" s="4"/>
      <c r="G23" s="51"/>
      <c r="H23" s="52"/>
      <c r="I23" s="52"/>
      <c r="J23" s="52"/>
      <c r="K23" s="52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2:26" ht="13.5" customHeight="1" x14ac:dyDescent="0.3">
      <c r="B24" s="11"/>
      <c r="C24" s="5"/>
      <c r="D24" s="36"/>
      <c r="E24" s="4"/>
      <c r="F24" s="4"/>
      <c r="G24" s="51"/>
      <c r="H24" s="52"/>
      <c r="I24" s="52"/>
      <c r="J24" s="52"/>
      <c r="K24" s="52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2:26" ht="13.5" customHeight="1" x14ac:dyDescent="0.3">
      <c r="B25" s="11"/>
      <c r="C25" s="5"/>
      <c r="D25" s="36"/>
      <c r="E25" s="4"/>
      <c r="F25" s="4"/>
      <c r="G25" s="51"/>
      <c r="H25" s="52"/>
      <c r="I25" s="52"/>
      <c r="J25" s="52"/>
      <c r="K25" s="52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2:26" ht="13.5" customHeight="1" x14ac:dyDescent="0.3">
      <c r="B26" s="48"/>
      <c r="C26" s="5"/>
      <c r="D26" s="36"/>
      <c r="E26" s="4"/>
      <c r="F26" s="4"/>
      <c r="G26" s="51"/>
      <c r="H26" s="52"/>
      <c r="I26" s="52"/>
      <c r="J26" s="52"/>
      <c r="K26" s="52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2:26" ht="13.5" customHeight="1" x14ac:dyDescent="0.3">
      <c r="B27" s="48"/>
      <c r="C27" s="5"/>
      <c r="D27" s="36"/>
      <c r="E27" s="4"/>
      <c r="F27" s="4"/>
      <c r="G27" s="51"/>
      <c r="H27" s="52"/>
      <c r="I27" s="52"/>
      <c r="J27" s="52"/>
      <c r="K27" s="52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2:26" ht="13.5" customHeight="1" x14ac:dyDescent="0.3">
      <c r="B28" s="11"/>
      <c r="C28" s="5"/>
      <c r="D28" s="36"/>
      <c r="E28" s="4"/>
      <c r="F28" s="4"/>
      <c r="G28" s="51"/>
      <c r="H28" s="52"/>
      <c r="I28" s="52"/>
      <c r="J28" s="52"/>
      <c r="K28" s="52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2:26" ht="13.5" customHeight="1" x14ac:dyDescent="0.3">
      <c r="B29" s="11"/>
      <c r="C29" s="5"/>
      <c r="D29" s="36"/>
      <c r="E29" s="4"/>
      <c r="F29" s="4"/>
      <c r="G29" s="51"/>
      <c r="H29" s="52"/>
      <c r="I29" s="52"/>
      <c r="J29" s="52"/>
      <c r="K29" s="52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2:26" ht="13.5" customHeight="1" x14ac:dyDescent="0.3">
      <c r="B30" s="11"/>
      <c r="C30" s="5"/>
      <c r="D30" s="36"/>
      <c r="E30" s="4"/>
      <c r="F30" s="4"/>
      <c r="G30" s="51"/>
      <c r="H30" s="52"/>
      <c r="I30" s="52"/>
      <c r="J30" s="52"/>
      <c r="K30" s="5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2:26" ht="13.5" customHeight="1" x14ac:dyDescent="0.3">
      <c r="B31" s="11"/>
      <c r="C31" s="5"/>
      <c r="D31" s="36"/>
      <c r="E31" s="4"/>
      <c r="F31" s="4"/>
      <c r="G31" s="51"/>
      <c r="H31" s="52"/>
      <c r="I31" s="52"/>
      <c r="J31" s="52"/>
      <c r="K31" s="5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2:26" ht="13.5" customHeight="1" x14ac:dyDescent="0.3">
      <c r="B32" s="11"/>
      <c r="C32" s="5"/>
      <c r="D32" s="36"/>
      <c r="E32" s="4"/>
      <c r="F32" s="4"/>
      <c r="G32" s="51"/>
      <c r="H32" s="52"/>
      <c r="I32" s="52"/>
      <c r="J32" s="52"/>
      <c r="K32" s="5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2:28" ht="13.5" customHeight="1" x14ac:dyDescent="0.3">
      <c r="B33" s="11"/>
      <c r="C33" s="5"/>
      <c r="D33" s="36"/>
      <c r="E33" s="4"/>
      <c r="F33" s="4"/>
      <c r="G33" s="51"/>
      <c r="H33" s="52"/>
      <c r="I33" s="52"/>
      <c r="J33" s="52"/>
      <c r="K33" s="52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2:28" ht="13.5" customHeight="1" x14ac:dyDescent="0.3">
      <c r="B34" s="11"/>
      <c r="C34" s="5"/>
      <c r="D34" s="36"/>
      <c r="E34" s="4"/>
      <c r="F34" s="4"/>
      <c r="G34" s="51"/>
      <c r="H34" s="52"/>
      <c r="I34" s="52"/>
      <c r="J34" s="52"/>
      <c r="K34" s="52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2:28" ht="13.5" customHeight="1" x14ac:dyDescent="0.3">
      <c r="B35" s="11"/>
      <c r="C35" s="5"/>
      <c r="D35" s="36"/>
      <c r="E35" s="4"/>
      <c r="F35" s="4"/>
      <c r="G35" s="51"/>
      <c r="H35" s="52"/>
      <c r="I35" s="52"/>
      <c r="J35" s="52"/>
      <c r="K35" s="52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2:28" ht="13.5" customHeight="1" x14ac:dyDescent="0.3">
      <c r="B36" s="11"/>
      <c r="C36" s="5"/>
      <c r="D36" s="36"/>
      <c r="E36" s="4"/>
      <c r="F36" s="4"/>
      <c r="G36" s="51"/>
      <c r="H36" s="52"/>
      <c r="I36" s="52"/>
      <c r="J36" s="52"/>
      <c r="K36" s="52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2:28" ht="13.5" customHeight="1" x14ac:dyDescent="0.3">
      <c r="B37" s="12"/>
      <c r="C37" s="13"/>
      <c r="D37" s="14"/>
      <c r="E37" s="14"/>
      <c r="F37" s="15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2:28" ht="13.5" customHeight="1" x14ac:dyDescent="0.3">
      <c r="B38" s="16"/>
      <c r="C38" s="17"/>
      <c r="D38" s="18"/>
      <c r="E38" s="18"/>
      <c r="F38" s="74" t="s">
        <v>282</v>
      </c>
      <c r="G38" s="75">
        <f t="shared" ref="G38:Z38" si="3">SUM(G8:G21)</f>
        <v>172</v>
      </c>
      <c r="H38" s="75">
        <f t="shared" si="3"/>
        <v>0</v>
      </c>
      <c r="I38" s="75">
        <f t="shared" si="3"/>
        <v>172</v>
      </c>
      <c r="J38" s="75">
        <f t="shared" si="3"/>
        <v>0</v>
      </c>
      <c r="K38" s="75">
        <f t="shared" si="3"/>
        <v>0</v>
      </c>
      <c r="L38" s="75">
        <f t="shared" si="3"/>
        <v>0</v>
      </c>
      <c r="M38" s="75">
        <f t="shared" si="3"/>
        <v>0</v>
      </c>
      <c r="N38" s="75">
        <f t="shared" si="3"/>
        <v>0</v>
      </c>
      <c r="O38" s="75">
        <f t="shared" si="3"/>
        <v>0</v>
      </c>
      <c r="P38" s="75">
        <f t="shared" si="3"/>
        <v>0</v>
      </c>
      <c r="Q38" s="75">
        <f t="shared" si="3"/>
        <v>0</v>
      </c>
      <c r="R38" s="75">
        <f t="shared" si="3"/>
        <v>0</v>
      </c>
      <c r="S38" s="75">
        <f t="shared" si="3"/>
        <v>0</v>
      </c>
      <c r="T38" s="75">
        <f t="shared" si="3"/>
        <v>0</v>
      </c>
      <c r="U38" s="75">
        <f t="shared" si="3"/>
        <v>0</v>
      </c>
      <c r="V38" s="75">
        <f t="shared" si="3"/>
        <v>0</v>
      </c>
      <c r="W38" s="75">
        <f t="shared" si="3"/>
        <v>0</v>
      </c>
      <c r="X38" s="75">
        <f t="shared" si="3"/>
        <v>0</v>
      </c>
      <c r="Y38" s="75">
        <f t="shared" si="3"/>
        <v>0</v>
      </c>
      <c r="Z38" s="75">
        <f t="shared" si="3"/>
        <v>0</v>
      </c>
    </row>
    <row r="39" spans="2:28" ht="13.5" customHeight="1" x14ac:dyDescent="0.3">
      <c r="B39" s="16"/>
      <c r="C39" s="17"/>
      <c r="D39" s="18"/>
      <c r="E39" s="18"/>
      <c r="F39" s="74" t="s">
        <v>283</v>
      </c>
      <c r="G39" s="53"/>
      <c r="H39" s="53"/>
      <c r="I39" s="53"/>
      <c r="J39" s="53"/>
      <c r="K39" s="53"/>
      <c r="L39" s="75">
        <f>G38-L38</f>
        <v>172</v>
      </c>
      <c r="M39" s="75">
        <f t="shared" ref="M39:Z39" si="4">L39-M38</f>
        <v>172</v>
      </c>
      <c r="N39" s="75">
        <f t="shared" si="4"/>
        <v>172</v>
      </c>
      <c r="O39" s="75">
        <f t="shared" si="4"/>
        <v>172</v>
      </c>
      <c r="P39" s="75">
        <f t="shared" si="4"/>
        <v>172</v>
      </c>
      <c r="Q39" s="75">
        <f t="shared" si="4"/>
        <v>172</v>
      </c>
      <c r="R39" s="75">
        <f t="shared" si="4"/>
        <v>172</v>
      </c>
      <c r="S39" s="75">
        <f t="shared" si="4"/>
        <v>172</v>
      </c>
      <c r="T39" s="75">
        <f t="shared" si="4"/>
        <v>172</v>
      </c>
      <c r="U39" s="75">
        <f t="shared" si="4"/>
        <v>172</v>
      </c>
      <c r="V39" s="75">
        <f t="shared" si="4"/>
        <v>172</v>
      </c>
      <c r="W39" s="75">
        <f t="shared" si="4"/>
        <v>172</v>
      </c>
      <c r="X39" s="75">
        <f t="shared" si="4"/>
        <v>172</v>
      </c>
      <c r="Y39" s="75">
        <f t="shared" si="4"/>
        <v>172</v>
      </c>
      <c r="Z39" s="75">
        <f t="shared" si="4"/>
        <v>172</v>
      </c>
    </row>
    <row r="40" spans="2:28" ht="13.5" customHeight="1" x14ac:dyDescent="0.3">
      <c r="B40" s="16"/>
      <c r="C40" s="17"/>
      <c r="D40" s="18"/>
      <c r="E40" s="18"/>
      <c r="F40" s="74" t="s">
        <v>284</v>
      </c>
      <c r="G40" s="53"/>
      <c r="H40" s="53"/>
      <c r="I40" s="53"/>
      <c r="J40" s="53"/>
      <c r="K40" s="53"/>
      <c r="L40" s="75">
        <f>L38</f>
        <v>0</v>
      </c>
      <c r="M40" s="75">
        <f t="shared" ref="M40:Z40" si="5">L40+M38</f>
        <v>0</v>
      </c>
      <c r="N40" s="75">
        <f t="shared" si="5"/>
        <v>0</v>
      </c>
      <c r="O40" s="75">
        <f t="shared" si="5"/>
        <v>0</v>
      </c>
      <c r="P40" s="75">
        <f t="shared" si="5"/>
        <v>0</v>
      </c>
      <c r="Q40" s="75">
        <f t="shared" si="5"/>
        <v>0</v>
      </c>
      <c r="R40" s="75">
        <f t="shared" si="5"/>
        <v>0</v>
      </c>
      <c r="S40" s="75">
        <f t="shared" si="5"/>
        <v>0</v>
      </c>
      <c r="T40" s="75">
        <f t="shared" si="5"/>
        <v>0</v>
      </c>
      <c r="U40" s="75">
        <f t="shared" si="5"/>
        <v>0</v>
      </c>
      <c r="V40" s="75">
        <f t="shared" si="5"/>
        <v>0</v>
      </c>
      <c r="W40" s="75">
        <f t="shared" si="5"/>
        <v>0</v>
      </c>
      <c r="X40" s="75">
        <f t="shared" si="5"/>
        <v>0</v>
      </c>
      <c r="Y40" s="75">
        <f t="shared" si="5"/>
        <v>0</v>
      </c>
      <c r="Z40" s="75">
        <f t="shared" si="5"/>
        <v>0</v>
      </c>
    </row>
    <row r="41" spans="2:28" ht="13.5" customHeight="1" x14ac:dyDescent="0.3">
      <c r="B41" s="16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2:28" ht="13.5" customHeight="1" x14ac:dyDescent="0.3">
      <c r="B42" s="7"/>
      <c r="C42" s="8"/>
    </row>
    <row r="43" spans="2:28" ht="13.5" customHeight="1" x14ac:dyDescent="0.3">
      <c r="B43" s="7"/>
      <c r="C43" s="8"/>
    </row>
    <row r="44" spans="2:28" ht="13.05" customHeight="1" x14ac:dyDescent="0.3">
      <c r="B44" s="45"/>
      <c r="C44" s="46"/>
      <c r="J44" s="82" t="s">
        <v>285</v>
      </c>
      <c r="K44" s="83"/>
      <c r="L44" s="76">
        <v>1</v>
      </c>
      <c r="M44" s="76">
        <v>2</v>
      </c>
      <c r="N44" s="76">
        <v>3</v>
      </c>
      <c r="O44" s="76">
        <v>4</v>
      </c>
      <c r="P44" s="76">
        <v>5</v>
      </c>
      <c r="Q44" s="76">
        <v>6</v>
      </c>
      <c r="R44" s="76">
        <v>7</v>
      </c>
      <c r="S44" s="76">
        <v>8</v>
      </c>
      <c r="T44" s="76">
        <v>9</v>
      </c>
      <c r="U44" s="76">
        <v>10</v>
      </c>
      <c r="V44" s="76">
        <v>11</v>
      </c>
      <c r="W44" s="76">
        <v>12</v>
      </c>
      <c r="X44" s="76">
        <v>13</v>
      </c>
      <c r="Y44" s="76">
        <v>14</v>
      </c>
      <c r="Z44" s="76">
        <v>15</v>
      </c>
      <c r="AA44" s="84" t="s">
        <v>286</v>
      </c>
      <c r="AB44" s="79"/>
    </row>
    <row r="45" spans="2:28" ht="13.05" customHeight="1" x14ac:dyDescent="0.3">
      <c r="B45" s="45"/>
      <c r="C45" s="46"/>
      <c r="J45" s="82" t="s">
        <v>3</v>
      </c>
      <c r="K45" s="83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54">
        <f>SUM(L45:Z45)</f>
        <v>0</v>
      </c>
    </row>
    <row r="46" spans="2:28" ht="13.05" customHeight="1" x14ac:dyDescent="0.3">
      <c r="B46" s="45"/>
      <c r="C46" s="46"/>
      <c r="J46" s="82" t="s">
        <v>7</v>
      </c>
      <c r="K46" s="83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54">
        <f>SUM(L46:Z46)</f>
        <v>0</v>
      </c>
    </row>
    <row r="47" spans="2:28" ht="13.05" customHeight="1" x14ac:dyDescent="0.3">
      <c r="B47" s="45"/>
      <c r="C47" s="46"/>
      <c r="J47" s="82" t="s">
        <v>8</v>
      </c>
      <c r="K47" s="83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54">
        <f>SUM(L47:Z47)</f>
        <v>0</v>
      </c>
    </row>
    <row r="48" spans="2:28" ht="13.05" customHeight="1" x14ac:dyDescent="0.3">
      <c r="B48" s="45"/>
      <c r="C48" s="46"/>
      <c r="J48" s="82" t="s">
        <v>10</v>
      </c>
      <c r="K48" s="83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54">
        <f>SUM(L48:Z48)</f>
        <v>0</v>
      </c>
    </row>
    <row r="49" spans="2:27" ht="13.05" customHeight="1" x14ac:dyDescent="0.3">
      <c r="B49" s="45"/>
      <c r="C49" s="46"/>
      <c r="J49" s="82" t="s">
        <v>13</v>
      </c>
      <c r="K49" s="83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54">
        <f>SUM(L49:Z49)</f>
        <v>0</v>
      </c>
    </row>
    <row r="50" spans="2:27" ht="13.05" customHeight="1" x14ac:dyDescent="0.3">
      <c r="B50" s="45"/>
      <c r="C50" s="46"/>
      <c r="AA50" s="77">
        <f>SUM(AA45:AA49)</f>
        <v>0</v>
      </c>
    </row>
    <row r="51" spans="2:27" ht="13.05" customHeight="1" x14ac:dyDescent="0.3">
      <c r="B51" s="45"/>
      <c r="C51" s="46"/>
      <c r="J51" s="54" t="s">
        <v>287</v>
      </c>
    </row>
    <row r="52" spans="2:27" ht="13.05" customHeight="1" x14ac:dyDescent="0.3">
      <c r="B52" s="45"/>
      <c r="C52" s="46"/>
    </row>
    <row r="53" spans="2:27" ht="13.5" customHeight="1" x14ac:dyDescent="0.3">
      <c r="B53" s="7"/>
      <c r="C53" s="8"/>
    </row>
    <row r="54" spans="2:27" ht="13.5" customHeight="1" x14ac:dyDescent="0.3">
      <c r="B54" s="7"/>
      <c r="C54" s="8"/>
    </row>
    <row r="55" spans="2:27" ht="13.5" customHeight="1" x14ac:dyDescent="0.3">
      <c r="B55" s="7"/>
      <c r="C55" s="8"/>
    </row>
    <row r="56" spans="2:27" ht="13.5" customHeight="1" x14ac:dyDescent="0.3">
      <c r="B56" s="7"/>
      <c r="C56" s="8"/>
    </row>
    <row r="57" spans="2:27" ht="13.5" customHeight="1" x14ac:dyDescent="0.3">
      <c r="B57" s="7"/>
      <c r="C57" s="8"/>
    </row>
    <row r="58" spans="2:27" ht="13.5" customHeight="1" x14ac:dyDescent="0.3">
      <c r="B58" s="7"/>
      <c r="C58" s="8"/>
    </row>
    <row r="59" spans="2:27" ht="13.5" customHeight="1" x14ac:dyDescent="0.3">
      <c r="B59" s="7"/>
      <c r="C59" s="8"/>
    </row>
    <row r="60" spans="2:27" ht="13.5" customHeight="1" x14ac:dyDescent="0.3">
      <c r="B60" s="7"/>
      <c r="C60" s="8"/>
    </row>
    <row r="61" spans="2:27" ht="13.5" customHeight="1" x14ac:dyDescent="0.3">
      <c r="B61" s="7"/>
      <c r="C61" s="8"/>
    </row>
    <row r="62" spans="2:27" ht="13.5" customHeight="1" x14ac:dyDescent="0.3">
      <c r="B62" s="7"/>
      <c r="C62" s="8"/>
    </row>
    <row r="63" spans="2:27" ht="13.5" customHeight="1" x14ac:dyDescent="0.3">
      <c r="B63" s="7"/>
      <c r="C63" s="8"/>
    </row>
    <row r="64" spans="2:27" ht="13.5" customHeight="1" x14ac:dyDescent="0.3">
      <c r="B64" s="7"/>
      <c r="C64" s="8"/>
    </row>
    <row r="65" spans="2:3" ht="13.5" customHeight="1" x14ac:dyDescent="0.3">
      <c r="B65" s="7"/>
      <c r="C65" s="8"/>
    </row>
    <row r="66" spans="2:3" ht="13.5" customHeight="1" x14ac:dyDescent="0.3">
      <c r="B66" s="7"/>
      <c r="C66" s="8"/>
    </row>
    <row r="67" spans="2:3" ht="13.5" customHeight="1" x14ac:dyDescent="0.3">
      <c r="B67" s="7"/>
      <c r="C67" s="8"/>
    </row>
    <row r="68" spans="2:3" ht="13.5" customHeight="1" x14ac:dyDescent="0.3">
      <c r="B68" s="7"/>
      <c r="C68" s="8"/>
    </row>
    <row r="69" spans="2:3" ht="13.5" customHeight="1" x14ac:dyDescent="0.3">
      <c r="B69" s="7"/>
      <c r="C69" s="8"/>
    </row>
    <row r="70" spans="2:3" ht="13.5" customHeight="1" x14ac:dyDescent="0.3">
      <c r="B70" s="7"/>
      <c r="C70" s="8"/>
    </row>
    <row r="71" spans="2:3" ht="13.5" customHeight="1" x14ac:dyDescent="0.3">
      <c r="B71" s="7"/>
      <c r="C71" s="8"/>
    </row>
    <row r="72" spans="2:3" ht="13.5" customHeight="1" x14ac:dyDescent="0.3">
      <c r="B72" s="7"/>
      <c r="C72" s="8"/>
    </row>
    <row r="73" spans="2:3" ht="13.5" customHeight="1" x14ac:dyDescent="0.3">
      <c r="B73" s="7"/>
      <c r="C73" s="8"/>
    </row>
    <row r="74" spans="2:3" ht="13.5" customHeight="1" x14ac:dyDescent="0.3">
      <c r="B74" s="7"/>
      <c r="C74" s="8"/>
    </row>
    <row r="75" spans="2:3" ht="13.5" customHeight="1" x14ac:dyDescent="0.3">
      <c r="B75" s="7"/>
      <c r="C75" s="8"/>
    </row>
    <row r="76" spans="2:3" ht="13.5" customHeight="1" x14ac:dyDescent="0.3">
      <c r="B76" s="7"/>
      <c r="C76" s="8"/>
    </row>
    <row r="77" spans="2:3" ht="13.5" customHeight="1" x14ac:dyDescent="0.3">
      <c r="B77" s="7"/>
      <c r="C77" s="8"/>
    </row>
    <row r="78" spans="2:3" ht="13.5" customHeight="1" x14ac:dyDescent="0.3">
      <c r="B78" s="7"/>
      <c r="C78" s="8"/>
    </row>
    <row r="79" spans="2:3" ht="13.5" customHeight="1" x14ac:dyDescent="0.3">
      <c r="B79" s="7"/>
      <c r="C79" s="8"/>
    </row>
    <row r="80" spans="2:3" ht="13.5" customHeight="1" x14ac:dyDescent="0.3">
      <c r="B80" s="7"/>
      <c r="C80" s="8"/>
    </row>
    <row r="81" spans="2:3" ht="13.5" customHeight="1" x14ac:dyDescent="0.3">
      <c r="B81" s="7"/>
      <c r="C81" s="8"/>
    </row>
    <row r="82" spans="2:3" ht="13.5" customHeight="1" x14ac:dyDescent="0.3">
      <c r="B82" s="7"/>
      <c r="C82" s="8"/>
    </row>
    <row r="83" spans="2:3" ht="13.5" customHeight="1" x14ac:dyDescent="0.3">
      <c r="B83" s="7"/>
      <c r="C83" s="8"/>
    </row>
    <row r="84" spans="2:3" ht="13.5" customHeight="1" x14ac:dyDescent="0.3">
      <c r="B84" s="7"/>
      <c r="C84" s="8"/>
    </row>
    <row r="85" spans="2:3" ht="13.5" customHeight="1" x14ac:dyDescent="0.3">
      <c r="B85" s="7"/>
      <c r="C85" s="8"/>
    </row>
    <row r="86" spans="2:3" ht="13.5" customHeight="1" x14ac:dyDescent="0.3">
      <c r="B86" s="7"/>
      <c r="C86" s="8"/>
    </row>
    <row r="87" spans="2:3" ht="13.5" customHeight="1" x14ac:dyDescent="0.3">
      <c r="B87" s="7"/>
      <c r="C87" s="8"/>
    </row>
    <row r="88" spans="2:3" ht="13.5" customHeight="1" x14ac:dyDescent="0.3">
      <c r="B88" s="7"/>
      <c r="C88" s="8"/>
    </row>
    <row r="89" spans="2:3" ht="13.5" customHeight="1" x14ac:dyDescent="0.3">
      <c r="B89" s="7"/>
      <c r="C89" s="8"/>
    </row>
    <row r="90" spans="2:3" ht="13.5" customHeight="1" x14ac:dyDescent="0.3">
      <c r="B90" s="7"/>
      <c r="C90" s="8"/>
    </row>
    <row r="91" spans="2:3" ht="13.5" customHeight="1" x14ac:dyDescent="0.3">
      <c r="B91" s="7"/>
      <c r="C91" s="8"/>
    </row>
    <row r="92" spans="2:3" ht="13.5" customHeight="1" x14ac:dyDescent="0.3">
      <c r="B92" s="7"/>
      <c r="C92" s="8"/>
    </row>
    <row r="93" spans="2:3" ht="13.5" customHeight="1" x14ac:dyDescent="0.3">
      <c r="B93" s="7"/>
      <c r="C93" s="8"/>
    </row>
    <row r="94" spans="2:3" ht="13.5" customHeight="1" x14ac:dyDescent="0.3">
      <c r="B94" s="7"/>
      <c r="C94" s="8"/>
    </row>
    <row r="95" spans="2:3" ht="13.5" customHeight="1" x14ac:dyDescent="0.3">
      <c r="B95" s="7"/>
      <c r="C95" s="8"/>
    </row>
    <row r="96" spans="2:3" ht="13.5" customHeight="1" x14ac:dyDescent="0.3">
      <c r="B96" s="7"/>
      <c r="C96" s="8"/>
    </row>
    <row r="97" spans="2:3" ht="13.5" customHeight="1" x14ac:dyDescent="0.3">
      <c r="B97" s="7"/>
      <c r="C97" s="8"/>
    </row>
    <row r="98" spans="2:3" ht="13.5" customHeight="1" x14ac:dyDescent="0.3">
      <c r="B98" s="7"/>
      <c r="C98" s="8"/>
    </row>
    <row r="99" spans="2:3" ht="13.5" customHeight="1" x14ac:dyDescent="0.3">
      <c r="B99" s="7"/>
      <c r="C99" s="8"/>
    </row>
    <row r="100" spans="2:3" ht="13.5" customHeight="1" x14ac:dyDescent="0.3">
      <c r="B100" s="7"/>
      <c r="C100" s="8"/>
    </row>
    <row r="101" spans="2:3" ht="13.5" customHeight="1" x14ac:dyDescent="0.3">
      <c r="B101" s="7"/>
      <c r="C101" s="8"/>
    </row>
    <row r="102" spans="2:3" ht="13.5" customHeight="1" x14ac:dyDescent="0.3">
      <c r="B102" s="7"/>
      <c r="C102" s="8"/>
    </row>
    <row r="103" spans="2:3" ht="13.5" customHeight="1" x14ac:dyDescent="0.3">
      <c r="B103" s="7"/>
      <c r="C103" s="8"/>
    </row>
    <row r="104" spans="2:3" ht="13.5" customHeight="1" x14ac:dyDescent="0.3">
      <c r="B104" s="7"/>
      <c r="C104" s="8"/>
    </row>
    <row r="105" spans="2:3" ht="13.5" customHeight="1" x14ac:dyDescent="0.3">
      <c r="B105" s="7"/>
      <c r="C105" s="8"/>
    </row>
    <row r="106" spans="2:3" ht="13.5" customHeight="1" x14ac:dyDescent="0.3">
      <c r="B106" s="7"/>
      <c r="C106" s="8"/>
    </row>
    <row r="107" spans="2:3" ht="13.5" customHeight="1" x14ac:dyDescent="0.3">
      <c r="B107" s="7"/>
      <c r="C107" s="8"/>
    </row>
    <row r="108" spans="2:3" ht="13.5" customHeight="1" x14ac:dyDescent="0.3">
      <c r="B108" s="7"/>
      <c r="C108" s="8"/>
    </row>
    <row r="109" spans="2:3" ht="13.5" customHeight="1" x14ac:dyDescent="0.3">
      <c r="B109" s="7"/>
      <c r="C109" s="8"/>
    </row>
    <row r="110" spans="2:3" ht="13.5" customHeight="1" x14ac:dyDescent="0.3">
      <c r="B110" s="7"/>
      <c r="C110" s="8"/>
    </row>
    <row r="111" spans="2:3" ht="13.5" customHeight="1" x14ac:dyDescent="0.3">
      <c r="B111" s="7"/>
      <c r="C111" s="8"/>
    </row>
    <row r="112" spans="2:3" ht="13.5" customHeight="1" x14ac:dyDescent="0.3">
      <c r="B112" s="7"/>
      <c r="C112" s="8"/>
    </row>
    <row r="113" spans="2:3" ht="13.5" customHeight="1" x14ac:dyDescent="0.3">
      <c r="B113" s="7"/>
      <c r="C113" s="8"/>
    </row>
    <row r="114" spans="2:3" ht="13.5" customHeight="1" x14ac:dyDescent="0.3">
      <c r="B114" s="7"/>
      <c r="C114" s="8"/>
    </row>
    <row r="115" spans="2:3" ht="13.5" customHeight="1" x14ac:dyDescent="0.3">
      <c r="B115" s="7"/>
      <c r="C115" s="8"/>
    </row>
    <row r="116" spans="2:3" ht="13.5" customHeight="1" x14ac:dyDescent="0.3">
      <c r="B116" s="7"/>
      <c r="C116" s="8"/>
    </row>
    <row r="117" spans="2:3" ht="13.5" customHeight="1" x14ac:dyDescent="0.3">
      <c r="B117" s="7"/>
      <c r="C117" s="8"/>
    </row>
    <row r="118" spans="2:3" ht="13.5" customHeight="1" x14ac:dyDescent="0.3">
      <c r="B118" s="7"/>
      <c r="C118" s="8"/>
    </row>
    <row r="119" spans="2:3" ht="13.5" customHeight="1" x14ac:dyDescent="0.3">
      <c r="B119" s="7"/>
      <c r="C119" s="8"/>
    </row>
    <row r="120" spans="2:3" ht="13.5" customHeight="1" x14ac:dyDescent="0.3">
      <c r="B120" s="7"/>
      <c r="C120" s="8"/>
    </row>
    <row r="121" spans="2:3" ht="13.5" customHeight="1" x14ac:dyDescent="0.3">
      <c r="B121" s="7"/>
      <c r="C121" s="8"/>
    </row>
    <row r="122" spans="2:3" ht="13.5" customHeight="1" x14ac:dyDescent="0.3">
      <c r="B122" s="7"/>
      <c r="C122" s="8"/>
    </row>
    <row r="123" spans="2:3" ht="13.5" customHeight="1" x14ac:dyDescent="0.3">
      <c r="B123" s="7"/>
      <c r="C123" s="8"/>
    </row>
    <row r="124" spans="2:3" ht="13.5" customHeight="1" x14ac:dyDescent="0.3">
      <c r="B124" s="7"/>
      <c r="C124" s="8"/>
    </row>
    <row r="125" spans="2:3" ht="13.5" customHeight="1" x14ac:dyDescent="0.3">
      <c r="B125" s="7"/>
      <c r="C125" s="8"/>
    </row>
    <row r="126" spans="2:3" ht="13.5" customHeight="1" x14ac:dyDescent="0.3">
      <c r="B126" s="7"/>
      <c r="C126" s="8"/>
    </row>
    <row r="127" spans="2:3" ht="13.5" customHeight="1" x14ac:dyDescent="0.3">
      <c r="B127" s="7"/>
      <c r="C127" s="8"/>
    </row>
    <row r="128" spans="2:3" ht="13.5" customHeight="1" x14ac:dyDescent="0.3">
      <c r="B128" s="7"/>
      <c r="C128" s="8"/>
    </row>
    <row r="129" spans="2:3" ht="13.5" customHeight="1" x14ac:dyDescent="0.3">
      <c r="B129" s="7"/>
      <c r="C129" s="8"/>
    </row>
    <row r="130" spans="2:3" ht="13.5" customHeight="1" x14ac:dyDescent="0.3">
      <c r="B130" s="7"/>
      <c r="C130" s="8"/>
    </row>
    <row r="131" spans="2:3" ht="13.5" customHeight="1" x14ac:dyDescent="0.3">
      <c r="B131" s="7"/>
      <c r="C131" s="8"/>
    </row>
    <row r="132" spans="2:3" ht="13.5" customHeight="1" x14ac:dyDescent="0.3">
      <c r="B132" s="7"/>
      <c r="C132" s="8"/>
    </row>
    <row r="133" spans="2:3" ht="13.5" customHeight="1" x14ac:dyDescent="0.3">
      <c r="B133" s="7"/>
      <c r="C133" s="8"/>
    </row>
    <row r="134" spans="2:3" ht="13.5" customHeight="1" x14ac:dyDescent="0.3">
      <c r="B134" s="7"/>
      <c r="C134" s="8"/>
    </row>
    <row r="135" spans="2:3" ht="13.5" customHeight="1" x14ac:dyDescent="0.3">
      <c r="B135" s="7"/>
      <c r="C135" s="8"/>
    </row>
    <row r="136" spans="2:3" ht="13.5" customHeight="1" x14ac:dyDescent="0.3">
      <c r="B136" s="7"/>
      <c r="C136" s="8"/>
    </row>
    <row r="137" spans="2:3" ht="13.5" customHeight="1" x14ac:dyDescent="0.3">
      <c r="B137" s="7"/>
      <c r="C137" s="8"/>
    </row>
    <row r="138" spans="2:3" ht="13.5" customHeight="1" x14ac:dyDescent="0.3">
      <c r="B138" s="7"/>
      <c r="C138" s="8"/>
    </row>
    <row r="139" spans="2:3" ht="13.5" customHeight="1" x14ac:dyDescent="0.3">
      <c r="B139" s="7"/>
      <c r="C139" s="8"/>
    </row>
    <row r="140" spans="2:3" ht="13.5" customHeight="1" x14ac:dyDescent="0.3">
      <c r="B140" s="7"/>
      <c r="C140" s="8"/>
    </row>
    <row r="141" spans="2:3" ht="13.5" customHeight="1" x14ac:dyDescent="0.3">
      <c r="B141" s="7"/>
      <c r="C141" s="8"/>
    </row>
    <row r="142" spans="2:3" ht="13.5" customHeight="1" x14ac:dyDescent="0.3">
      <c r="B142" s="7"/>
      <c r="C142" s="8"/>
    </row>
    <row r="143" spans="2:3" ht="13.5" customHeight="1" x14ac:dyDescent="0.3">
      <c r="B143" s="7"/>
      <c r="C143" s="8"/>
    </row>
    <row r="144" spans="2:3" ht="13.5" customHeight="1" x14ac:dyDescent="0.3">
      <c r="B144" s="7"/>
      <c r="C144" s="8"/>
    </row>
    <row r="145" spans="2:3" ht="13.5" customHeight="1" x14ac:dyDescent="0.3">
      <c r="B145" s="7"/>
      <c r="C145" s="8"/>
    </row>
    <row r="146" spans="2:3" ht="13.5" customHeight="1" x14ac:dyDescent="0.3">
      <c r="B146" s="7"/>
      <c r="C146" s="8"/>
    </row>
    <row r="147" spans="2:3" ht="13.5" customHeight="1" x14ac:dyDescent="0.3">
      <c r="B147" s="7"/>
      <c r="C147" s="8"/>
    </row>
    <row r="148" spans="2:3" ht="13.5" customHeight="1" x14ac:dyDescent="0.3">
      <c r="B148" s="7"/>
      <c r="C148" s="8"/>
    </row>
    <row r="149" spans="2:3" ht="13.5" customHeight="1" x14ac:dyDescent="0.3">
      <c r="B149" s="7"/>
      <c r="C149" s="8"/>
    </row>
    <row r="150" spans="2:3" ht="13.5" customHeight="1" x14ac:dyDescent="0.3">
      <c r="B150" s="7"/>
      <c r="C150" s="8"/>
    </row>
    <row r="151" spans="2:3" ht="13.5" customHeight="1" x14ac:dyDescent="0.3">
      <c r="B151" s="7"/>
      <c r="C151" s="8"/>
    </row>
    <row r="152" spans="2:3" ht="13.5" customHeight="1" x14ac:dyDescent="0.3">
      <c r="B152" s="7"/>
      <c r="C152" s="8"/>
    </row>
    <row r="153" spans="2:3" ht="13.5" customHeight="1" x14ac:dyDescent="0.3">
      <c r="B153" s="7"/>
      <c r="C153" s="8"/>
    </row>
    <row r="154" spans="2:3" ht="13.5" customHeight="1" x14ac:dyDescent="0.3">
      <c r="B154" s="7"/>
      <c r="C154" s="8"/>
    </row>
    <row r="155" spans="2:3" ht="13.5" customHeight="1" x14ac:dyDescent="0.3">
      <c r="B155" s="7"/>
      <c r="C155" s="8"/>
    </row>
    <row r="156" spans="2:3" ht="13.5" customHeight="1" x14ac:dyDescent="0.3">
      <c r="B156" s="7"/>
      <c r="C156" s="8"/>
    </row>
    <row r="157" spans="2:3" ht="13.5" customHeight="1" x14ac:dyDescent="0.3">
      <c r="B157" s="7"/>
      <c r="C157" s="8"/>
    </row>
    <row r="158" spans="2:3" ht="13.5" customHeight="1" x14ac:dyDescent="0.3">
      <c r="B158" s="7"/>
      <c r="C158" s="8"/>
    </row>
    <row r="159" spans="2:3" ht="13.5" customHeight="1" x14ac:dyDescent="0.3">
      <c r="B159" s="7"/>
      <c r="C159" s="8"/>
    </row>
    <row r="160" spans="2:3" ht="13.5" customHeight="1" x14ac:dyDescent="0.3">
      <c r="B160" s="7"/>
      <c r="C160" s="8"/>
    </row>
    <row r="161" spans="2:3" ht="13.5" customHeight="1" x14ac:dyDescent="0.3">
      <c r="B161" s="7"/>
      <c r="C161" s="8"/>
    </row>
    <row r="162" spans="2:3" ht="13.5" customHeight="1" x14ac:dyDescent="0.3">
      <c r="B162" s="7"/>
      <c r="C162" s="8"/>
    </row>
    <row r="163" spans="2:3" ht="13.5" customHeight="1" x14ac:dyDescent="0.3">
      <c r="B163" s="7"/>
      <c r="C163" s="8"/>
    </row>
    <row r="164" spans="2:3" ht="13.5" customHeight="1" x14ac:dyDescent="0.3">
      <c r="B164" s="7"/>
      <c r="C164" s="8"/>
    </row>
    <row r="165" spans="2:3" ht="13.5" customHeight="1" x14ac:dyDescent="0.3">
      <c r="B165" s="7"/>
      <c r="C165" s="8"/>
    </row>
    <row r="166" spans="2:3" ht="13.5" customHeight="1" x14ac:dyDescent="0.3">
      <c r="B166" s="7"/>
      <c r="C166" s="8"/>
    </row>
    <row r="167" spans="2:3" ht="13.5" customHeight="1" x14ac:dyDescent="0.3">
      <c r="B167" s="7"/>
      <c r="C167" s="8"/>
    </row>
    <row r="168" spans="2:3" ht="13.5" customHeight="1" x14ac:dyDescent="0.3">
      <c r="B168" s="7"/>
      <c r="C168" s="8"/>
    </row>
    <row r="169" spans="2:3" ht="13.5" customHeight="1" x14ac:dyDescent="0.3">
      <c r="B169" s="7"/>
      <c r="C169" s="8"/>
    </row>
    <row r="170" spans="2:3" ht="13.5" customHeight="1" x14ac:dyDescent="0.3">
      <c r="B170" s="7"/>
      <c r="C170" s="8"/>
    </row>
    <row r="171" spans="2:3" ht="13.5" customHeight="1" x14ac:dyDescent="0.3">
      <c r="B171" s="7"/>
      <c r="C171" s="8"/>
    </row>
    <row r="172" spans="2:3" ht="13.5" customHeight="1" x14ac:dyDescent="0.3">
      <c r="B172" s="7"/>
      <c r="C172" s="8"/>
    </row>
    <row r="173" spans="2:3" ht="13.5" customHeight="1" x14ac:dyDescent="0.3">
      <c r="B173" s="7"/>
      <c r="C173" s="8"/>
    </row>
    <row r="174" spans="2:3" ht="13.5" customHeight="1" x14ac:dyDescent="0.3">
      <c r="B174" s="7"/>
      <c r="C174" s="8"/>
    </row>
    <row r="175" spans="2:3" ht="13.5" customHeight="1" x14ac:dyDescent="0.3">
      <c r="B175" s="7"/>
      <c r="C175" s="8"/>
    </row>
    <row r="176" spans="2:3" ht="13.5" customHeight="1" x14ac:dyDescent="0.3">
      <c r="B176" s="7"/>
      <c r="C176" s="8"/>
    </row>
    <row r="177" spans="2:3" ht="13.5" customHeight="1" x14ac:dyDescent="0.3">
      <c r="B177" s="7"/>
      <c r="C177" s="8"/>
    </row>
    <row r="178" spans="2:3" ht="13.5" customHeight="1" x14ac:dyDescent="0.3">
      <c r="B178" s="7"/>
      <c r="C178" s="8"/>
    </row>
    <row r="179" spans="2:3" ht="13.5" customHeight="1" x14ac:dyDescent="0.3">
      <c r="B179" s="7"/>
      <c r="C179" s="8"/>
    </row>
    <row r="180" spans="2:3" ht="13.5" customHeight="1" x14ac:dyDescent="0.3">
      <c r="B180" s="7"/>
      <c r="C180" s="8"/>
    </row>
    <row r="181" spans="2:3" ht="13.5" customHeight="1" x14ac:dyDescent="0.3">
      <c r="B181" s="7"/>
      <c r="C181" s="8"/>
    </row>
    <row r="182" spans="2:3" ht="13.5" customHeight="1" x14ac:dyDescent="0.3">
      <c r="B182" s="7"/>
      <c r="C182" s="8"/>
    </row>
    <row r="183" spans="2:3" ht="13.5" customHeight="1" x14ac:dyDescent="0.3">
      <c r="B183" s="7"/>
      <c r="C183" s="8"/>
    </row>
    <row r="184" spans="2:3" ht="13.5" customHeight="1" x14ac:dyDescent="0.3">
      <c r="B184" s="7"/>
      <c r="C184" s="8"/>
    </row>
    <row r="185" spans="2:3" ht="13.5" customHeight="1" x14ac:dyDescent="0.3">
      <c r="B185" s="7"/>
      <c r="C185" s="8"/>
    </row>
    <row r="186" spans="2:3" ht="13.5" customHeight="1" x14ac:dyDescent="0.3">
      <c r="B186" s="7"/>
      <c r="C186" s="8"/>
    </row>
    <row r="187" spans="2:3" ht="13.5" customHeight="1" x14ac:dyDescent="0.3">
      <c r="B187" s="7"/>
      <c r="C187" s="8"/>
    </row>
    <row r="188" spans="2:3" ht="13.5" customHeight="1" x14ac:dyDescent="0.3">
      <c r="B188" s="7"/>
      <c r="C188" s="8"/>
    </row>
    <row r="189" spans="2:3" ht="13.5" customHeight="1" x14ac:dyDescent="0.3">
      <c r="B189" s="7"/>
      <c r="C189" s="8"/>
    </row>
    <row r="190" spans="2:3" ht="13.5" customHeight="1" x14ac:dyDescent="0.3">
      <c r="B190" s="7"/>
      <c r="C190" s="8"/>
    </row>
    <row r="191" spans="2:3" ht="13.5" customHeight="1" x14ac:dyDescent="0.3">
      <c r="B191" s="7"/>
      <c r="C191" s="8"/>
    </row>
    <row r="192" spans="2:3" ht="13.5" customHeight="1" x14ac:dyDescent="0.3">
      <c r="B192" s="7"/>
      <c r="C192" s="8"/>
    </row>
    <row r="193" spans="2:3" ht="13.5" customHeight="1" x14ac:dyDescent="0.3">
      <c r="B193" s="7"/>
      <c r="C193" s="8"/>
    </row>
    <row r="194" spans="2:3" ht="13.5" customHeight="1" x14ac:dyDescent="0.3">
      <c r="B194" s="7"/>
      <c r="C194" s="8"/>
    </row>
    <row r="195" spans="2:3" ht="13.5" customHeight="1" x14ac:dyDescent="0.3">
      <c r="B195" s="7"/>
      <c r="C195" s="8"/>
    </row>
    <row r="196" spans="2:3" ht="13.5" customHeight="1" x14ac:dyDescent="0.3">
      <c r="B196" s="7"/>
      <c r="C196" s="8"/>
    </row>
    <row r="197" spans="2:3" ht="13.5" customHeight="1" x14ac:dyDescent="0.3">
      <c r="B197" s="7"/>
      <c r="C197" s="8"/>
    </row>
    <row r="198" spans="2:3" ht="13.5" customHeight="1" x14ac:dyDescent="0.3">
      <c r="B198" s="7"/>
      <c r="C198" s="8"/>
    </row>
    <row r="199" spans="2:3" ht="13.5" customHeight="1" x14ac:dyDescent="0.3">
      <c r="B199" s="7"/>
      <c r="C199" s="8"/>
    </row>
    <row r="200" spans="2:3" ht="13.5" customHeight="1" x14ac:dyDescent="0.3">
      <c r="B200" s="7"/>
      <c r="C200" s="8"/>
    </row>
    <row r="201" spans="2:3" ht="13.5" customHeight="1" x14ac:dyDescent="0.3">
      <c r="B201" s="7"/>
      <c r="C201" s="8"/>
    </row>
    <row r="202" spans="2:3" ht="13.5" customHeight="1" x14ac:dyDescent="0.3">
      <c r="B202" s="7"/>
      <c r="C202" s="8"/>
    </row>
    <row r="203" spans="2:3" ht="13.5" customHeight="1" x14ac:dyDescent="0.3">
      <c r="B203" s="7"/>
      <c r="C203" s="8"/>
    </row>
    <row r="204" spans="2:3" ht="13.5" customHeight="1" x14ac:dyDescent="0.3">
      <c r="B204" s="7"/>
      <c r="C204" s="8"/>
    </row>
    <row r="205" spans="2:3" ht="13.5" customHeight="1" x14ac:dyDescent="0.3">
      <c r="B205" s="7"/>
      <c r="C205" s="8"/>
    </row>
    <row r="206" spans="2:3" ht="13.5" customHeight="1" x14ac:dyDescent="0.3">
      <c r="B206" s="7"/>
      <c r="C206" s="8"/>
    </row>
    <row r="207" spans="2:3" ht="13.5" customHeight="1" x14ac:dyDescent="0.3">
      <c r="B207" s="7"/>
      <c r="C207" s="8"/>
    </row>
    <row r="208" spans="2:3" ht="13.5" customHeight="1" x14ac:dyDescent="0.3">
      <c r="B208" s="7"/>
      <c r="C208" s="8"/>
    </row>
    <row r="209" spans="2:3" ht="13.5" customHeight="1" x14ac:dyDescent="0.3">
      <c r="B209" s="7"/>
      <c r="C209" s="8"/>
    </row>
    <row r="210" spans="2:3" ht="13.5" customHeight="1" x14ac:dyDescent="0.3">
      <c r="B210" s="7"/>
      <c r="C210" s="8"/>
    </row>
    <row r="211" spans="2:3" ht="13.5" customHeight="1" x14ac:dyDescent="0.3">
      <c r="B211" s="7"/>
      <c r="C211" s="8"/>
    </row>
    <row r="212" spans="2:3" ht="13.5" customHeight="1" x14ac:dyDescent="0.3">
      <c r="B212" s="7"/>
      <c r="C212" s="8"/>
    </row>
    <row r="213" spans="2:3" ht="13.5" customHeight="1" x14ac:dyDescent="0.3">
      <c r="B213" s="7"/>
      <c r="C213" s="8"/>
    </row>
    <row r="214" spans="2:3" ht="13.5" customHeight="1" x14ac:dyDescent="0.3">
      <c r="B214" s="7"/>
      <c r="C214" s="8"/>
    </row>
    <row r="215" spans="2:3" ht="13.5" customHeight="1" x14ac:dyDescent="0.3">
      <c r="B215" s="7"/>
      <c r="C215" s="8"/>
    </row>
    <row r="216" spans="2:3" ht="13.5" customHeight="1" x14ac:dyDescent="0.3">
      <c r="B216" s="7"/>
      <c r="C216" s="8"/>
    </row>
    <row r="217" spans="2:3" ht="13.5" customHeight="1" x14ac:dyDescent="0.3">
      <c r="B217" s="7"/>
      <c r="C217" s="8"/>
    </row>
    <row r="218" spans="2:3" ht="13.5" customHeight="1" x14ac:dyDescent="0.3">
      <c r="B218" s="7"/>
      <c r="C218" s="8"/>
    </row>
    <row r="219" spans="2:3" ht="13.5" customHeight="1" x14ac:dyDescent="0.3">
      <c r="B219" s="7"/>
      <c r="C219" s="8"/>
    </row>
    <row r="220" spans="2:3" ht="13.5" customHeight="1" x14ac:dyDescent="0.3">
      <c r="B220" s="7"/>
      <c r="C220" s="8"/>
    </row>
    <row r="221" spans="2:3" ht="13.5" customHeight="1" x14ac:dyDescent="0.3">
      <c r="B221" s="7"/>
      <c r="C221" s="8"/>
    </row>
    <row r="222" spans="2:3" ht="13.5" customHeight="1" x14ac:dyDescent="0.3">
      <c r="B222" s="7"/>
      <c r="C222" s="8"/>
    </row>
    <row r="223" spans="2:3" ht="13.5" customHeight="1" x14ac:dyDescent="0.3">
      <c r="B223" s="7"/>
      <c r="C223" s="8"/>
    </row>
    <row r="224" spans="2:3" ht="13.5" customHeight="1" x14ac:dyDescent="0.3">
      <c r="B224" s="7"/>
      <c r="C224" s="8"/>
    </row>
    <row r="225" spans="2:3" ht="13.5" customHeight="1" x14ac:dyDescent="0.3">
      <c r="B225" s="7"/>
      <c r="C225" s="8"/>
    </row>
    <row r="226" spans="2:3" ht="13.5" customHeight="1" x14ac:dyDescent="0.3">
      <c r="B226" s="7"/>
      <c r="C226" s="8"/>
    </row>
    <row r="227" spans="2:3" ht="13.5" customHeight="1" x14ac:dyDescent="0.3">
      <c r="B227" s="7"/>
      <c r="C227" s="8"/>
    </row>
    <row r="228" spans="2:3" ht="13.5" customHeight="1" x14ac:dyDescent="0.3">
      <c r="B228" s="7"/>
      <c r="C228" s="8"/>
    </row>
    <row r="229" spans="2:3" ht="13.5" customHeight="1" x14ac:dyDescent="0.3">
      <c r="B229" s="7"/>
      <c r="C229" s="8"/>
    </row>
    <row r="230" spans="2:3" ht="13.5" customHeight="1" x14ac:dyDescent="0.3">
      <c r="B230" s="7"/>
      <c r="C230" s="8"/>
    </row>
    <row r="231" spans="2:3" ht="13.5" customHeight="1" x14ac:dyDescent="0.3">
      <c r="B231" s="7"/>
      <c r="C231" s="8"/>
    </row>
    <row r="232" spans="2:3" ht="13.5" customHeight="1" x14ac:dyDescent="0.3">
      <c r="B232" s="7"/>
      <c r="C232" s="8"/>
    </row>
    <row r="233" spans="2:3" ht="13.5" customHeight="1" x14ac:dyDescent="0.3">
      <c r="B233" s="7"/>
      <c r="C233" s="8"/>
    </row>
    <row r="234" spans="2:3" ht="13.5" customHeight="1" x14ac:dyDescent="0.3">
      <c r="B234" s="7"/>
      <c r="C234" s="8"/>
    </row>
    <row r="235" spans="2:3" ht="13.5" customHeight="1" x14ac:dyDescent="0.3">
      <c r="B235" s="7"/>
      <c r="C235" s="8"/>
    </row>
    <row r="236" spans="2:3" ht="13.5" customHeight="1" x14ac:dyDescent="0.3">
      <c r="B236" s="7"/>
      <c r="C236" s="8"/>
    </row>
    <row r="237" spans="2:3" ht="13.5" customHeight="1" x14ac:dyDescent="0.3">
      <c r="B237" s="7"/>
      <c r="C237" s="8"/>
    </row>
    <row r="238" spans="2:3" ht="13.5" customHeight="1" x14ac:dyDescent="0.3">
      <c r="B238" s="7"/>
      <c r="C238" s="8"/>
    </row>
    <row r="239" spans="2:3" ht="13.5" customHeight="1" x14ac:dyDescent="0.3">
      <c r="B239" s="7"/>
      <c r="C239" s="8"/>
    </row>
    <row r="240" spans="2:3" ht="13.5" customHeight="1" x14ac:dyDescent="0.3">
      <c r="B240" s="7"/>
      <c r="C240" s="8"/>
    </row>
    <row r="241" spans="2:3" ht="13.5" customHeight="1" x14ac:dyDescent="0.3">
      <c r="B241" s="7"/>
      <c r="C241" s="8"/>
    </row>
    <row r="242" spans="2:3" ht="13.5" customHeight="1" x14ac:dyDescent="0.3">
      <c r="B242" s="7"/>
      <c r="C242" s="8"/>
    </row>
    <row r="243" spans="2:3" ht="13.5" customHeight="1" x14ac:dyDescent="0.3">
      <c r="B243" s="7"/>
      <c r="C243" s="8"/>
    </row>
    <row r="244" spans="2:3" ht="13.5" customHeight="1" x14ac:dyDescent="0.3">
      <c r="B244" s="7"/>
      <c r="C244" s="8"/>
    </row>
    <row r="245" spans="2:3" ht="13.5" customHeight="1" x14ac:dyDescent="0.3">
      <c r="B245" s="7"/>
      <c r="C245" s="8"/>
    </row>
    <row r="246" spans="2:3" ht="13.5" customHeight="1" x14ac:dyDescent="0.3">
      <c r="B246" s="7"/>
      <c r="C246" s="8"/>
    </row>
    <row r="247" spans="2:3" ht="13.5" customHeight="1" x14ac:dyDescent="0.3">
      <c r="B247" s="7"/>
      <c r="C247" s="8"/>
    </row>
    <row r="248" spans="2:3" ht="13.5" customHeight="1" x14ac:dyDescent="0.3">
      <c r="B248" s="7"/>
      <c r="C248" s="8"/>
    </row>
    <row r="249" spans="2:3" ht="13.5" customHeight="1" x14ac:dyDescent="0.3">
      <c r="B249" s="7"/>
      <c r="C249" s="8"/>
    </row>
    <row r="250" spans="2:3" ht="13.5" customHeight="1" x14ac:dyDescent="0.3">
      <c r="B250" s="7"/>
      <c r="C250" s="8"/>
    </row>
    <row r="251" spans="2:3" ht="13.5" customHeight="1" x14ac:dyDescent="0.3">
      <c r="B251" s="7"/>
      <c r="C251" s="8"/>
    </row>
    <row r="252" spans="2:3" ht="13.5" customHeight="1" x14ac:dyDescent="0.3">
      <c r="B252" s="7"/>
      <c r="C252" s="8"/>
    </row>
    <row r="253" spans="2:3" ht="13.5" customHeight="1" x14ac:dyDescent="0.3">
      <c r="B253" s="7"/>
      <c r="C253" s="8"/>
    </row>
    <row r="254" spans="2:3" ht="13.5" customHeight="1" x14ac:dyDescent="0.3">
      <c r="B254" s="7"/>
      <c r="C254" s="8"/>
    </row>
    <row r="255" spans="2:3" ht="13.5" customHeight="1" x14ac:dyDescent="0.3">
      <c r="B255" s="7"/>
      <c r="C255" s="8"/>
    </row>
    <row r="256" spans="2:3" ht="13.5" customHeight="1" x14ac:dyDescent="0.3">
      <c r="B256" s="7"/>
      <c r="C256" s="8"/>
    </row>
    <row r="257" spans="2:3" ht="13.5" customHeight="1" x14ac:dyDescent="0.3">
      <c r="B257" s="7"/>
      <c r="C257" s="8"/>
    </row>
    <row r="258" spans="2:3" ht="13.5" customHeight="1" x14ac:dyDescent="0.3">
      <c r="B258" s="7"/>
      <c r="C258" s="8"/>
    </row>
    <row r="259" spans="2:3" ht="13.5" customHeight="1" x14ac:dyDescent="0.3">
      <c r="B259" s="7"/>
      <c r="C259" s="8"/>
    </row>
    <row r="260" spans="2:3" ht="13.5" customHeight="1" x14ac:dyDescent="0.3">
      <c r="B260" s="7"/>
      <c r="C260" s="8"/>
    </row>
    <row r="261" spans="2:3" ht="13.5" customHeight="1" x14ac:dyDescent="0.3">
      <c r="B261" s="7"/>
      <c r="C261" s="8"/>
    </row>
    <row r="262" spans="2:3" ht="13.5" customHeight="1" x14ac:dyDescent="0.3">
      <c r="B262" s="7"/>
      <c r="C262" s="8"/>
    </row>
    <row r="263" spans="2:3" ht="13.5" customHeight="1" x14ac:dyDescent="0.3">
      <c r="B263" s="7"/>
      <c r="C263" s="8"/>
    </row>
    <row r="264" spans="2:3" ht="13.5" customHeight="1" x14ac:dyDescent="0.3">
      <c r="B264" s="7"/>
      <c r="C264" s="8"/>
    </row>
    <row r="265" spans="2:3" ht="13.5" customHeight="1" x14ac:dyDescent="0.3">
      <c r="B265" s="7"/>
      <c r="C265" s="8"/>
    </row>
    <row r="266" spans="2:3" ht="13.5" customHeight="1" x14ac:dyDescent="0.3">
      <c r="B266" s="7"/>
      <c r="C266" s="8"/>
    </row>
    <row r="267" spans="2:3" ht="13.5" customHeight="1" x14ac:dyDescent="0.3">
      <c r="B267" s="7"/>
      <c r="C267" s="8"/>
    </row>
    <row r="268" spans="2:3" ht="13.5" customHeight="1" x14ac:dyDescent="0.3">
      <c r="B268" s="7"/>
      <c r="C268" s="8"/>
    </row>
    <row r="269" spans="2:3" ht="13.5" customHeight="1" x14ac:dyDescent="0.3">
      <c r="B269" s="7"/>
      <c r="C269" s="8"/>
    </row>
    <row r="270" spans="2:3" ht="13.5" customHeight="1" x14ac:dyDescent="0.3">
      <c r="B270" s="7"/>
      <c r="C270" s="8"/>
    </row>
    <row r="271" spans="2:3" ht="13.5" customHeight="1" x14ac:dyDescent="0.3">
      <c r="B271" s="7"/>
      <c r="C271" s="8"/>
    </row>
    <row r="272" spans="2:3" ht="13.5" customHeight="1" x14ac:dyDescent="0.3">
      <c r="B272" s="7"/>
      <c r="C272" s="8"/>
    </row>
    <row r="273" spans="2:3" ht="13.5" customHeight="1" x14ac:dyDescent="0.3">
      <c r="B273" s="7"/>
      <c r="C273" s="8"/>
    </row>
    <row r="274" spans="2:3" ht="13.5" customHeight="1" x14ac:dyDescent="0.3">
      <c r="B274" s="7"/>
      <c r="C274" s="8"/>
    </row>
    <row r="275" spans="2:3" ht="13.5" customHeight="1" x14ac:dyDescent="0.3">
      <c r="B275" s="7"/>
      <c r="C275" s="8"/>
    </row>
    <row r="276" spans="2:3" ht="13.5" customHeight="1" x14ac:dyDescent="0.3">
      <c r="B276" s="7"/>
      <c r="C276" s="8"/>
    </row>
    <row r="277" spans="2:3" ht="13.5" customHeight="1" x14ac:dyDescent="0.3">
      <c r="B277" s="7"/>
      <c r="C277" s="8"/>
    </row>
    <row r="278" spans="2:3" ht="13.5" customHeight="1" x14ac:dyDescent="0.3">
      <c r="B278" s="7"/>
      <c r="C278" s="8"/>
    </row>
    <row r="279" spans="2:3" ht="13.5" customHeight="1" x14ac:dyDescent="0.3">
      <c r="B279" s="7"/>
      <c r="C279" s="8"/>
    </row>
    <row r="280" spans="2:3" ht="13.5" customHeight="1" x14ac:dyDescent="0.3">
      <c r="B280" s="7"/>
      <c r="C280" s="8"/>
    </row>
    <row r="281" spans="2:3" ht="13.5" customHeight="1" x14ac:dyDescent="0.3">
      <c r="B281" s="7"/>
      <c r="C281" s="8"/>
    </row>
    <row r="282" spans="2:3" ht="13.5" customHeight="1" x14ac:dyDescent="0.3">
      <c r="B282" s="7"/>
      <c r="C282" s="8"/>
    </row>
    <row r="283" spans="2:3" ht="13.5" customHeight="1" x14ac:dyDescent="0.3">
      <c r="B283" s="7"/>
      <c r="C283" s="8"/>
    </row>
    <row r="284" spans="2:3" ht="13.5" customHeight="1" x14ac:dyDescent="0.3">
      <c r="B284" s="7"/>
      <c r="C284" s="8"/>
    </row>
    <row r="285" spans="2:3" ht="13.5" customHeight="1" x14ac:dyDescent="0.3">
      <c r="B285" s="7"/>
      <c r="C285" s="8"/>
    </row>
    <row r="286" spans="2:3" ht="13.5" customHeight="1" x14ac:dyDescent="0.3">
      <c r="B286" s="7"/>
      <c r="C286" s="8"/>
    </row>
    <row r="287" spans="2:3" ht="13.5" customHeight="1" x14ac:dyDescent="0.3">
      <c r="B287" s="7"/>
      <c r="C287" s="8"/>
    </row>
    <row r="288" spans="2:3" ht="13.5" customHeight="1" x14ac:dyDescent="0.3">
      <c r="B288" s="7"/>
      <c r="C288" s="8"/>
    </row>
    <row r="289" spans="2:3" ht="13.5" customHeight="1" x14ac:dyDescent="0.3">
      <c r="B289" s="7"/>
      <c r="C289" s="8"/>
    </row>
    <row r="290" spans="2:3" ht="13.5" customHeight="1" x14ac:dyDescent="0.3">
      <c r="B290" s="7"/>
      <c r="C290" s="8"/>
    </row>
    <row r="291" spans="2:3" ht="13.5" customHeight="1" x14ac:dyDescent="0.3">
      <c r="B291" s="7"/>
      <c r="C291" s="8"/>
    </row>
    <row r="292" spans="2:3" ht="13.5" customHeight="1" x14ac:dyDescent="0.3">
      <c r="B292" s="7"/>
      <c r="C292" s="8"/>
    </row>
    <row r="293" spans="2:3" ht="13.5" customHeight="1" x14ac:dyDescent="0.3">
      <c r="B293" s="7"/>
      <c r="C293" s="8"/>
    </row>
    <row r="294" spans="2:3" ht="13.5" customHeight="1" x14ac:dyDescent="0.3">
      <c r="B294" s="7"/>
      <c r="C294" s="8"/>
    </row>
    <row r="295" spans="2:3" ht="13.5" customHeight="1" x14ac:dyDescent="0.3">
      <c r="B295" s="7"/>
      <c r="C295" s="8"/>
    </row>
    <row r="296" spans="2:3" ht="13.5" customHeight="1" x14ac:dyDescent="0.3">
      <c r="B296" s="7"/>
      <c r="C296" s="8"/>
    </row>
    <row r="297" spans="2:3" ht="13.5" customHeight="1" x14ac:dyDescent="0.3">
      <c r="B297" s="7"/>
      <c r="C297" s="8"/>
    </row>
    <row r="298" spans="2:3" ht="13.5" customHeight="1" x14ac:dyDescent="0.3">
      <c r="B298" s="7"/>
      <c r="C298" s="8"/>
    </row>
    <row r="299" spans="2:3" ht="13.5" customHeight="1" x14ac:dyDescent="0.3">
      <c r="B299" s="7"/>
      <c r="C299" s="8"/>
    </row>
    <row r="300" spans="2:3" ht="13.5" customHeight="1" x14ac:dyDescent="0.3">
      <c r="B300" s="7"/>
      <c r="C300" s="8"/>
    </row>
    <row r="301" spans="2:3" ht="13.5" customHeight="1" x14ac:dyDescent="0.3">
      <c r="B301" s="7"/>
      <c r="C301" s="8"/>
    </row>
    <row r="302" spans="2:3" ht="13.5" customHeight="1" x14ac:dyDescent="0.3">
      <c r="B302" s="7"/>
      <c r="C302" s="8"/>
    </row>
    <row r="303" spans="2:3" ht="13.5" customHeight="1" x14ac:dyDescent="0.3">
      <c r="B303" s="7"/>
      <c r="C303" s="8"/>
    </row>
    <row r="304" spans="2:3" ht="13.5" customHeight="1" x14ac:dyDescent="0.3">
      <c r="B304" s="7"/>
      <c r="C304" s="8"/>
    </row>
    <row r="305" spans="2:3" ht="13.5" customHeight="1" x14ac:dyDescent="0.3">
      <c r="B305" s="7"/>
      <c r="C305" s="8"/>
    </row>
    <row r="306" spans="2:3" ht="13.5" customHeight="1" x14ac:dyDescent="0.3">
      <c r="B306" s="7"/>
      <c r="C306" s="8"/>
    </row>
    <row r="307" spans="2:3" ht="13.5" customHeight="1" x14ac:dyDescent="0.3">
      <c r="B307" s="7"/>
      <c r="C307" s="8"/>
    </row>
    <row r="308" spans="2:3" ht="13.5" customHeight="1" x14ac:dyDescent="0.3">
      <c r="B308" s="7"/>
      <c r="C308" s="8"/>
    </row>
    <row r="309" spans="2:3" ht="13.5" customHeight="1" x14ac:dyDescent="0.3">
      <c r="B309" s="7"/>
      <c r="C309" s="8"/>
    </row>
    <row r="310" spans="2:3" ht="13.5" customHeight="1" x14ac:dyDescent="0.3">
      <c r="B310" s="7"/>
      <c r="C310" s="8"/>
    </row>
    <row r="311" spans="2:3" ht="13.5" customHeight="1" x14ac:dyDescent="0.3">
      <c r="B311" s="7"/>
      <c r="C311" s="8"/>
    </row>
    <row r="312" spans="2:3" ht="13.5" customHeight="1" x14ac:dyDescent="0.3">
      <c r="B312" s="7"/>
      <c r="C312" s="8"/>
    </row>
    <row r="313" spans="2:3" ht="13.5" customHeight="1" x14ac:dyDescent="0.3">
      <c r="B313" s="7"/>
      <c r="C313" s="8"/>
    </row>
    <row r="314" spans="2:3" ht="13.5" customHeight="1" x14ac:dyDescent="0.3">
      <c r="B314" s="7"/>
      <c r="C314" s="8"/>
    </row>
    <row r="315" spans="2:3" ht="13.5" customHeight="1" x14ac:dyDescent="0.3">
      <c r="B315" s="7"/>
      <c r="C315" s="8"/>
    </row>
    <row r="316" spans="2:3" ht="13.5" customHeight="1" x14ac:dyDescent="0.3">
      <c r="B316" s="7"/>
      <c r="C316" s="8"/>
    </row>
    <row r="317" spans="2:3" ht="13.5" customHeight="1" x14ac:dyDescent="0.3">
      <c r="B317" s="7"/>
      <c r="C317" s="8"/>
    </row>
    <row r="318" spans="2:3" ht="13.5" customHeight="1" x14ac:dyDescent="0.3">
      <c r="B318" s="7"/>
      <c r="C318" s="8"/>
    </row>
    <row r="319" spans="2:3" ht="13.5" customHeight="1" x14ac:dyDescent="0.3">
      <c r="B319" s="7"/>
      <c r="C319" s="8"/>
    </row>
    <row r="320" spans="2:3" ht="13.5" customHeight="1" x14ac:dyDescent="0.3">
      <c r="B320" s="7"/>
      <c r="C320" s="8"/>
    </row>
    <row r="321" spans="2:3" ht="13.5" customHeight="1" x14ac:dyDescent="0.3">
      <c r="B321" s="7"/>
      <c r="C321" s="8"/>
    </row>
    <row r="322" spans="2:3" ht="13.5" customHeight="1" x14ac:dyDescent="0.3">
      <c r="B322" s="7"/>
      <c r="C322" s="8"/>
    </row>
    <row r="323" spans="2:3" ht="13.5" customHeight="1" x14ac:dyDescent="0.3">
      <c r="B323" s="7"/>
      <c r="C323" s="8"/>
    </row>
    <row r="324" spans="2:3" ht="13.5" customHeight="1" x14ac:dyDescent="0.3">
      <c r="B324" s="7"/>
      <c r="C324" s="8"/>
    </row>
    <row r="325" spans="2:3" ht="13.5" customHeight="1" x14ac:dyDescent="0.3">
      <c r="B325" s="7"/>
      <c r="C325" s="8"/>
    </row>
    <row r="326" spans="2:3" ht="13.5" customHeight="1" x14ac:dyDescent="0.3">
      <c r="B326" s="7"/>
      <c r="C326" s="8"/>
    </row>
    <row r="327" spans="2:3" ht="13.5" customHeight="1" x14ac:dyDescent="0.3">
      <c r="B327" s="7"/>
      <c r="C327" s="8"/>
    </row>
    <row r="328" spans="2:3" ht="13.5" customHeight="1" x14ac:dyDescent="0.3">
      <c r="B328" s="7"/>
      <c r="C328" s="8"/>
    </row>
    <row r="329" spans="2:3" ht="13.5" customHeight="1" x14ac:dyDescent="0.3">
      <c r="B329" s="7"/>
      <c r="C329" s="8"/>
    </row>
    <row r="330" spans="2:3" ht="13.5" customHeight="1" x14ac:dyDescent="0.3">
      <c r="B330" s="7"/>
      <c r="C330" s="8"/>
    </row>
    <row r="331" spans="2:3" ht="13.5" customHeight="1" x14ac:dyDescent="0.3">
      <c r="B331" s="7"/>
      <c r="C331" s="8"/>
    </row>
    <row r="332" spans="2:3" ht="13.5" customHeight="1" x14ac:dyDescent="0.3">
      <c r="B332" s="7"/>
      <c r="C332" s="8"/>
    </row>
    <row r="333" spans="2:3" ht="13.5" customHeight="1" x14ac:dyDescent="0.3">
      <c r="B333" s="7"/>
      <c r="C333" s="8"/>
    </row>
    <row r="334" spans="2:3" ht="13.5" customHeight="1" x14ac:dyDescent="0.3">
      <c r="B334" s="7"/>
      <c r="C334" s="8"/>
    </row>
    <row r="335" spans="2:3" ht="13.5" customHeight="1" x14ac:dyDescent="0.3">
      <c r="B335" s="7"/>
      <c r="C335" s="8"/>
    </row>
    <row r="336" spans="2:3" ht="13.5" customHeight="1" x14ac:dyDescent="0.3">
      <c r="B336" s="7"/>
      <c r="C336" s="8"/>
    </row>
    <row r="337" spans="2:3" ht="13.5" customHeight="1" x14ac:dyDescent="0.3">
      <c r="B337" s="7"/>
      <c r="C337" s="8"/>
    </row>
    <row r="338" spans="2:3" ht="13.5" customHeight="1" x14ac:dyDescent="0.3">
      <c r="B338" s="7"/>
      <c r="C338" s="8"/>
    </row>
    <row r="339" spans="2:3" ht="13.5" customHeight="1" x14ac:dyDescent="0.3">
      <c r="B339" s="7"/>
      <c r="C339" s="8"/>
    </row>
    <row r="340" spans="2:3" ht="13.5" customHeight="1" x14ac:dyDescent="0.3">
      <c r="B340" s="7"/>
      <c r="C340" s="8"/>
    </row>
    <row r="341" spans="2:3" ht="13.5" customHeight="1" x14ac:dyDescent="0.3">
      <c r="B341" s="7"/>
      <c r="C341" s="8"/>
    </row>
    <row r="342" spans="2:3" ht="13.5" customHeight="1" x14ac:dyDescent="0.3">
      <c r="B342" s="7"/>
      <c r="C342" s="8"/>
    </row>
    <row r="343" spans="2:3" ht="13.5" customHeight="1" x14ac:dyDescent="0.3">
      <c r="B343" s="7"/>
      <c r="C343" s="8"/>
    </row>
    <row r="344" spans="2:3" ht="13.5" customHeight="1" x14ac:dyDescent="0.3">
      <c r="B344" s="7"/>
      <c r="C344" s="8"/>
    </row>
    <row r="345" spans="2:3" ht="13.5" customHeight="1" x14ac:dyDescent="0.3">
      <c r="B345" s="7"/>
      <c r="C345" s="8"/>
    </row>
    <row r="346" spans="2:3" ht="13.5" customHeight="1" x14ac:dyDescent="0.3">
      <c r="B346" s="7"/>
      <c r="C346" s="8"/>
    </row>
    <row r="347" spans="2:3" ht="13.5" customHeight="1" x14ac:dyDescent="0.3">
      <c r="B347" s="7"/>
      <c r="C347" s="8"/>
    </row>
    <row r="348" spans="2:3" ht="13.5" customHeight="1" x14ac:dyDescent="0.3">
      <c r="B348" s="7"/>
      <c r="C348" s="8"/>
    </row>
    <row r="349" spans="2:3" ht="13.5" customHeight="1" x14ac:dyDescent="0.3">
      <c r="B349" s="7"/>
      <c r="C349" s="8"/>
    </row>
    <row r="350" spans="2:3" ht="13.5" customHeight="1" x14ac:dyDescent="0.3">
      <c r="B350" s="7"/>
      <c r="C350" s="8"/>
    </row>
    <row r="351" spans="2:3" ht="13.5" customHeight="1" x14ac:dyDescent="0.3">
      <c r="B351" s="7"/>
      <c r="C351" s="8"/>
    </row>
    <row r="352" spans="2:3" ht="13.5" customHeight="1" x14ac:dyDescent="0.3">
      <c r="B352" s="7"/>
      <c r="C352" s="8"/>
    </row>
    <row r="353" spans="2:3" ht="13.5" customHeight="1" x14ac:dyDescent="0.3">
      <c r="B353" s="7"/>
      <c r="C353" s="8"/>
    </row>
    <row r="354" spans="2:3" ht="13.5" customHeight="1" x14ac:dyDescent="0.3">
      <c r="B354" s="7"/>
      <c r="C354" s="8"/>
    </row>
    <row r="355" spans="2:3" ht="13.5" customHeight="1" x14ac:dyDescent="0.3">
      <c r="B355" s="7"/>
      <c r="C355" s="8"/>
    </row>
    <row r="356" spans="2:3" ht="13.5" customHeight="1" x14ac:dyDescent="0.3">
      <c r="B356" s="7"/>
      <c r="C356" s="8"/>
    </row>
    <row r="357" spans="2:3" ht="13.5" customHeight="1" x14ac:dyDescent="0.3">
      <c r="B357" s="7"/>
      <c r="C357" s="8"/>
    </row>
    <row r="358" spans="2:3" ht="13.5" customHeight="1" x14ac:dyDescent="0.3">
      <c r="B358" s="7"/>
      <c r="C358" s="8"/>
    </row>
    <row r="359" spans="2:3" ht="13.5" customHeight="1" x14ac:dyDescent="0.3">
      <c r="B359" s="7"/>
      <c r="C359" s="8"/>
    </row>
    <row r="360" spans="2:3" ht="13.5" customHeight="1" x14ac:dyDescent="0.3">
      <c r="B360" s="7"/>
      <c r="C360" s="8"/>
    </row>
    <row r="361" spans="2:3" ht="13.5" customHeight="1" x14ac:dyDescent="0.3">
      <c r="B361" s="7"/>
      <c r="C361" s="8"/>
    </row>
    <row r="362" spans="2:3" ht="13.5" customHeight="1" x14ac:dyDescent="0.3">
      <c r="B362" s="7"/>
      <c r="C362" s="8"/>
    </row>
    <row r="363" spans="2:3" ht="13.5" customHeight="1" x14ac:dyDescent="0.3">
      <c r="B363" s="7"/>
      <c r="C363" s="8"/>
    </row>
    <row r="364" spans="2:3" ht="13.5" customHeight="1" x14ac:dyDescent="0.3">
      <c r="B364" s="7"/>
      <c r="C364" s="8"/>
    </row>
    <row r="365" spans="2:3" ht="13.5" customHeight="1" x14ac:dyDescent="0.3">
      <c r="B365" s="7"/>
      <c r="C365" s="8"/>
    </row>
    <row r="366" spans="2:3" ht="13.5" customHeight="1" x14ac:dyDescent="0.3">
      <c r="B366" s="7"/>
      <c r="C366" s="8"/>
    </row>
    <row r="367" spans="2:3" ht="13.5" customHeight="1" x14ac:dyDescent="0.3">
      <c r="B367" s="7"/>
      <c r="C367" s="8"/>
    </row>
    <row r="368" spans="2:3" ht="13.5" customHeight="1" x14ac:dyDescent="0.3">
      <c r="B368" s="7"/>
      <c r="C368" s="8"/>
    </row>
    <row r="369" spans="2:3" ht="13.5" customHeight="1" x14ac:dyDescent="0.3">
      <c r="B369" s="7"/>
      <c r="C369" s="8"/>
    </row>
    <row r="370" spans="2:3" ht="13.5" customHeight="1" x14ac:dyDescent="0.3">
      <c r="B370" s="7"/>
      <c r="C370" s="8"/>
    </row>
    <row r="371" spans="2:3" ht="13.5" customHeight="1" x14ac:dyDescent="0.3">
      <c r="B371" s="7"/>
      <c r="C371" s="8"/>
    </row>
    <row r="372" spans="2:3" ht="13.5" customHeight="1" x14ac:dyDescent="0.3">
      <c r="B372" s="7"/>
      <c r="C372" s="8"/>
    </row>
    <row r="373" spans="2:3" ht="13.5" customHeight="1" x14ac:dyDescent="0.3">
      <c r="B373" s="7"/>
      <c r="C373" s="8"/>
    </row>
    <row r="374" spans="2:3" ht="13.5" customHeight="1" x14ac:dyDescent="0.3">
      <c r="B374" s="7"/>
      <c r="C374" s="8"/>
    </row>
    <row r="375" spans="2:3" ht="13.5" customHeight="1" x14ac:dyDescent="0.3">
      <c r="B375" s="7"/>
      <c r="C375" s="8"/>
    </row>
    <row r="376" spans="2:3" ht="13.5" customHeight="1" x14ac:dyDescent="0.3">
      <c r="B376" s="7"/>
      <c r="C376" s="8"/>
    </row>
    <row r="377" spans="2:3" ht="13.5" customHeight="1" x14ac:dyDescent="0.3">
      <c r="B377" s="7"/>
      <c r="C377" s="8"/>
    </row>
    <row r="378" spans="2:3" ht="13.5" customHeight="1" x14ac:dyDescent="0.3">
      <c r="B378" s="7"/>
      <c r="C378" s="8"/>
    </row>
    <row r="379" spans="2:3" ht="13.5" customHeight="1" x14ac:dyDescent="0.3">
      <c r="B379" s="7"/>
      <c r="C379" s="8"/>
    </row>
    <row r="380" spans="2:3" ht="13.5" customHeight="1" x14ac:dyDescent="0.3">
      <c r="B380" s="7"/>
      <c r="C380" s="8"/>
    </row>
    <row r="381" spans="2:3" ht="13.5" customHeight="1" x14ac:dyDescent="0.3">
      <c r="B381" s="7"/>
      <c r="C381" s="8"/>
    </row>
    <row r="382" spans="2:3" ht="13.5" customHeight="1" x14ac:dyDescent="0.3">
      <c r="B382" s="7"/>
      <c r="C382" s="8"/>
    </row>
    <row r="383" spans="2:3" ht="13.5" customHeight="1" x14ac:dyDescent="0.3">
      <c r="B383" s="7"/>
      <c r="C383" s="8"/>
    </row>
    <row r="384" spans="2:3" ht="13.5" customHeight="1" x14ac:dyDescent="0.3">
      <c r="B384" s="7"/>
      <c r="C384" s="8"/>
    </row>
    <row r="385" spans="2:3" ht="13.5" customHeight="1" x14ac:dyDescent="0.3">
      <c r="B385" s="7"/>
      <c r="C385" s="8"/>
    </row>
    <row r="386" spans="2:3" ht="13.5" customHeight="1" x14ac:dyDescent="0.3">
      <c r="B386" s="7"/>
      <c r="C386" s="8"/>
    </row>
    <row r="387" spans="2:3" ht="13.5" customHeight="1" x14ac:dyDescent="0.3">
      <c r="B387" s="7"/>
      <c r="C387" s="8"/>
    </row>
    <row r="388" spans="2:3" ht="13.5" customHeight="1" x14ac:dyDescent="0.3">
      <c r="B388" s="7"/>
      <c r="C388" s="8"/>
    </row>
    <row r="389" spans="2:3" ht="13.5" customHeight="1" x14ac:dyDescent="0.3">
      <c r="B389" s="7"/>
      <c r="C389" s="8"/>
    </row>
    <row r="390" spans="2:3" ht="13.5" customHeight="1" x14ac:dyDescent="0.3">
      <c r="B390" s="7"/>
      <c r="C390" s="8"/>
    </row>
    <row r="391" spans="2:3" ht="13.5" customHeight="1" x14ac:dyDescent="0.3">
      <c r="B391" s="7"/>
      <c r="C391" s="8"/>
    </row>
    <row r="392" spans="2:3" ht="13.5" customHeight="1" x14ac:dyDescent="0.3">
      <c r="B392" s="7"/>
      <c r="C392" s="8"/>
    </row>
    <row r="393" spans="2:3" ht="13.5" customHeight="1" x14ac:dyDescent="0.3">
      <c r="B393" s="7"/>
      <c r="C393" s="8"/>
    </row>
    <row r="394" spans="2:3" ht="13.5" customHeight="1" x14ac:dyDescent="0.3">
      <c r="B394" s="7"/>
      <c r="C394" s="8"/>
    </row>
    <row r="395" spans="2:3" ht="13.5" customHeight="1" x14ac:dyDescent="0.3">
      <c r="B395" s="7"/>
      <c r="C395" s="8"/>
    </row>
    <row r="396" spans="2:3" ht="13.5" customHeight="1" x14ac:dyDescent="0.3">
      <c r="B396" s="7"/>
      <c r="C396" s="8"/>
    </row>
    <row r="397" spans="2:3" ht="13.5" customHeight="1" x14ac:dyDescent="0.3">
      <c r="B397" s="7"/>
      <c r="C397" s="8"/>
    </row>
    <row r="398" spans="2:3" ht="13.5" customHeight="1" x14ac:dyDescent="0.3">
      <c r="B398" s="7"/>
      <c r="C398" s="8"/>
    </row>
    <row r="399" spans="2:3" ht="13.5" customHeight="1" x14ac:dyDescent="0.3">
      <c r="B399" s="7"/>
      <c r="C399" s="8"/>
    </row>
    <row r="400" spans="2:3" ht="13.5" customHeight="1" x14ac:dyDescent="0.3">
      <c r="B400" s="7"/>
      <c r="C400" s="8"/>
    </row>
    <row r="401" spans="2:3" ht="13.5" customHeight="1" x14ac:dyDescent="0.3">
      <c r="B401" s="7"/>
      <c r="C401" s="8"/>
    </row>
    <row r="402" spans="2:3" ht="13.5" customHeight="1" x14ac:dyDescent="0.3">
      <c r="B402" s="7"/>
      <c r="C402" s="8"/>
    </row>
    <row r="403" spans="2:3" ht="13.5" customHeight="1" x14ac:dyDescent="0.3">
      <c r="B403" s="7"/>
      <c r="C403" s="8"/>
    </row>
    <row r="404" spans="2:3" ht="13.5" customHeight="1" x14ac:dyDescent="0.3">
      <c r="B404" s="7"/>
      <c r="C404" s="8"/>
    </row>
    <row r="405" spans="2:3" ht="13.5" customHeight="1" x14ac:dyDescent="0.3">
      <c r="B405" s="7"/>
      <c r="C405" s="8"/>
    </row>
    <row r="406" spans="2:3" ht="13.5" customHeight="1" x14ac:dyDescent="0.3">
      <c r="B406" s="7"/>
      <c r="C406" s="8"/>
    </row>
    <row r="407" spans="2:3" ht="13.5" customHeight="1" x14ac:dyDescent="0.3">
      <c r="B407" s="7"/>
      <c r="C407" s="8"/>
    </row>
    <row r="408" spans="2:3" ht="13.5" customHeight="1" x14ac:dyDescent="0.3">
      <c r="B408" s="7"/>
      <c r="C408" s="8"/>
    </row>
    <row r="409" spans="2:3" ht="13.5" customHeight="1" x14ac:dyDescent="0.3">
      <c r="B409" s="7"/>
      <c r="C409" s="8"/>
    </row>
    <row r="410" spans="2:3" ht="13.5" customHeight="1" x14ac:dyDescent="0.3">
      <c r="B410" s="7"/>
      <c r="C410" s="8"/>
    </row>
    <row r="411" spans="2:3" ht="13.5" customHeight="1" x14ac:dyDescent="0.3">
      <c r="B411" s="7"/>
      <c r="C411" s="8"/>
    </row>
    <row r="412" spans="2:3" ht="13.5" customHeight="1" x14ac:dyDescent="0.3">
      <c r="B412" s="7"/>
      <c r="C412" s="8"/>
    </row>
    <row r="413" spans="2:3" ht="13.5" customHeight="1" x14ac:dyDescent="0.3">
      <c r="B413" s="7"/>
      <c r="C413" s="8"/>
    </row>
    <row r="414" spans="2:3" ht="13.5" customHeight="1" x14ac:dyDescent="0.3">
      <c r="B414" s="7"/>
      <c r="C414" s="8"/>
    </row>
    <row r="415" spans="2:3" ht="13.5" customHeight="1" x14ac:dyDescent="0.3">
      <c r="B415" s="7"/>
      <c r="C415" s="8"/>
    </row>
    <row r="416" spans="2:3" ht="13.5" customHeight="1" x14ac:dyDescent="0.3">
      <c r="B416" s="7"/>
      <c r="C416" s="8"/>
    </row>
    <row r="417" spans="2:3" ht="13.5" customHeight="1" x14ac:dyDescent="0.3">
      <c r="B417" s="7"/>
      <c r="C417" s="8"/>
    </row>
    <row r="418" spans="2:3" ht="13.5" customHeight="1" x14ac:dyDescent="0.3">
      <c r="B418" s="7"/>
      <c r="C418" s="8"/>
    </row>
    <row r="419" spans="2:3" ht="13.5" customHeight="1" x14ac:dyDescent="0.3">
      <c r="B419" s="7"/>
      <c r="C419" s="8"/>
    </row>
    <row r="420" spans="2:3" ht="13.5" customHeight="1" x14ac:dyDescent="0.3">
      <c r="B420" s="7"/>
      <c r="C420" s="8"/>
    </row>
    <row r="421" spans="2:3" ht="13.5" customHeight="1" x14ac:dyDescent="0.3">
      <c r="B421" s="7"/>
      <c r="C421" s="8"/>
    </row>
    <row r="422" spans="2:3" ht="13.5" customHeight="1" x14ac:dyDescent="0.3">
      <c r="B422" s="7"/>
      <c r="C422" s="8"/>
    </row>
    <row r="423" spans="2:3" ht="13.5" customHeight="1" x14ac:dyDescent="0.3">
      <c r="B423" s="7"/>
      <c r="C423" s="8"/>
    </row>
    <row r="424" spans="2:3" ht="13.5" customHeight="1" x14ac:dyDescent="0.3">
      <c r="B424" s="7"/>
      <c r="C424" s="8"/>
    </row>
    <row r="425" spans="2:3" ht="13.5" customHeight="1" x14ac:dyDescent="0.3">
      <c r="B425" s="7"/>
      <c r="C425" s="8"/>
    </row>
    <row r="426" spans="2:3" ht="13.5" customHeight="1" x14ac:dyDescent="0.3">
      <c r="B426" s="7"/>
      <c r="C426" s="8"/>
    </row>
    <row r="427" spans="2:3" ht="13.5" customHeight="1" x14ac:dyDescent="0.3">
      <c r="B427" s="7"/>
      <c r="C427" s="8"/>
    </row>
    <row r="428" spans="2:3" ht="13.5" customHeight="1" x14ac:dyDescent="0.3">
      <c r="B428" s="7"/>
      <c r="C428" s="8"/>
    </row>
    <row r="429" spans="2:3" ht="13.5" customHeight="1" x14ac:dyDescent="0.3">
      <c r="B429" s="7"/>
      <c r="C429" s="8"/>
    </row>
    <row r="430" spans="2:3" ht="13.5" customHeight="1" x14ac:dyDescent="0.3">
      <c r="B430" s="7"/>
      <c r="C430" s="8"/>
    </row>
    <row r="431" spans="2:3" ht="13.5" customHeight="1" x14ac:dyDescent="0.3">
      <c r="B431" s="7"/>
      <c r="C431" s="8"/>
    </row>
    <row r="432" spans="2:3" ht="13.5" customHeight="1" x14ac:dyDescent="0.3">
      <c r="B432" s="7"/>
      <c r="C432" s="8"/>
    </row>
    <row r="433" spans="2:3" ht="13.5" customHeight="1" x14ac:dyDescent="0.3">
      <c r="B433" s="7"/>
      <c r="C433" s="8"/>
    </row>
    <row r="434" spans="2:3" ht="13.5" customHeight="1" x14ac:dyDescent="0.3">
      <c r="B434" s="7"/>
      <c r="C434" s="8"/>
    </row>
    <row r="435" spans="2:3" ht="13.5" customHeight="1" x14ac:dyDescent="0.3">
      <c r="B435" s="7"/>
      <c r="C435" s="8"/>
    </row>
    <row r="436" spans="2:3" ht="13.5" customHeight="1" x14ac:dyDescent="0.3">
      <c r="B436" s="7"/>
      <c r="C436" s="8"/>
    </row>
    <row r="437" spans="2:3" ht="13.5" customHeight="1" x14ac:dyDescent="0.3">
      <c r="B437" s="7"/>
      <c r="C437" s="8"/>
    </row>
    <row r="438" spans="2:3" ht="13.5" customHeight="1" x14ac:dyDescent="0.3">
      <c r="B438" s="7"/>
      <c r="C438" s="8"/>
    </row>
    <row r="439" spans="2:3" ht="13.5" customHeight="1" x14ac:dyDescent="0.3">
      <c r="B439" s="7"/>
      <c r="C439" s="8"/>
    </row>
    <row r="440" spans="2:3" ht="13.5" customHeight="1" x14ac:dyDescent="0.3">
      <c r="B440" s="7"/>
      <c r="C440" s="8"/>
    </row>
    <row r="441" spans="2:3" ht="13.5" customHeight="1" x14ac:dyDescent="0.3">
      <c r="B441" s="7"/>
      <c r="C441" s="8"/>
    </row>
    <row r="442" spans="2:3" ht="13.5" customHeight="1" x14ac:dyDescent="0.3">
      <c r="B442" s="7"/>
      <c r="C442" s="8"/>
    </row>
    <row r="443" spans="2:3" ht="13.5" customHeight="1" x14ac:dyDescent="0.3">
      <c r="B443" s="7"/>
      <c r="C443" s="8"/>
    </row>
    <row r="444" spans="2:3" ht="13.5" customHeight="1" x14ac:dyDescent="0.3">
      <c r="B444" s="7"/>
      <c r="C444" s="8"/>
    </row>
    <row r="445" spans="2:3" ht="13.5" customHeight="1" x14ac:dyDescent="0.3">
      <c r="B445" s="7"/>
      <c r="C445" s="8"/>
    </row>
    <row r="446" spans="2:3" ht="13.5" customHeight="1" x14ac:dyDescent="0.3">
      <c r="B446" s="7"/>
      <c r="C446" s="8"/>
    </row>
    <row r="447" spans="2:3" ht="13.5" customHeight="1" x14ac:dyDescent="0.3">
      <c r="B447" s="7"/>
      <c r="C447" s="8"/>
    </row>
    <row r="448" spans="2:3" ht="13.5" customHeight="1" x14ac:dyDescent="0.3">
      <c r="B448" s="7"/>
      <c r="C448" s="8"/>
    </row>
    <row r="449" spans="2:3" ht="13.5" customHeight="1" x14ac:dyDescent="0.3">
      <c r="B449" s="7"/>
      <c r="C449" s="8"/>
    </row>
    <row r="450" spans="2:3" ht="13.5" customHeight="1" x14ac:dyDescent="0.3">
      <c r="B450" s="7"/>
      <c r="C450" s="8"/>
    </row>
    <row r="451" spans="2:3" ht="13.5" customHeight="1" x14ac:dyDescent="0.3">
      <c r="B451" s="7"/>
      <c r="C451" s="8"/>
    </row>
    <row r="452" spans="2:3" ht="13.5" customHeight="1" x14ac:dyDescent="0.3">
      <c r="B452" s="7"/>
      <c r="C452" s="8"/>
    </row>
    <row r="453" spans="2:3" ht="13.5" customHeight="1" x14ac:dyDescent="0.3">
      <c r="B453" s="7"/>
      <c r="C453" s="8"/>
    </row>
    <row r="454" spans="2:3" ht="13.5" customHeight="1" x14ac:dyDescent="0.3">
      <c r="B454" s="7"/>
      <c r="C454" s="8"/>
    </row>
    <row r="455" spans="2:3" ht="13.5" customHeight="1" x14ac:dyDescent="0.3">
      <c r="B455" s="7"/>
      <c r="C455" s="8"/>
    </row>
    <row r="456" spans="2:3" ht="13.5" customHeight="1" x14ac:dyDescent="0.3">
      <c r="B456" s="7"/>
      <c r="C456" s="8"/>
    </row>
    <row r="457" spans="2:3" ht="13.5" customHeight="1" x14ac:dyDescent="0.3">
      <c r="B457" s="7"/>
      <c r="C457" s="8"/>
    </row>
    <row r="458" spans="2:3" ht="13.5" customHeight="1" x14ac:dyDescent="0.3">
      <c r="B458" s="7"/>
      <c r="C458" s="8"/>
    </row>
    <row r="459" spans="2:3" ht="13.5" customHeight="1" x14ac:dyDescent="0.3">
      <c r="B459" s="7"/>
      <c r="C459" s="8"/>
    </row>
    <row r="460" spans="2:3" ht="13.5" customHeight="1" x14ac:dyDescent="0.3">
      <c r="B460" s="7"/>
      <c r="C460" s="8"/>
    </row>
    <row r="461" spans="2:3" ht="13.5" customHeight="1" x14ac:dyDescent="0.3">
      <c r="B461" s="7"/>
      <c r="C461" s="8"/>
    </row>
    <row r="462" spans="2:3" ht="13.5" customHeight="1" x14ac:dyDescent="0.3">
      <c r="B462" s="7"/>
      <c r="C462" s="8"/>
    </row>
    <row r="463" spans="2:3" ht="13.5" customHeight="1" x14ac:dyDescent="0.3">
      <c r="B463" s="7"/>
      <c r="C463" s="8"/>
    </row>
    <row r="464" spans="2:3" ht="13.5" customHeight="1" x14ac:dyDescent="0.3">
      <c r="B464" s="7"/>
      <c r="C464" s="8"/>
    </row>
    <row r="465" spans="2:3" ht="13.5" customHeight="1" x14ac:dyDescent="0.3">
      <c r="B465" s="7"/>
      <c r="C465" s="8"/>
    </row>
    <row r="466" spans="2:3" ht="13.5" customHeight="1" x14ac:dyDescent="0.3">
      <c r="B466" s="7"/>
      <c r="C466" s="8"/>
    </row>
    <row r="467" spans="2:3" ht="13.5" customHeight="1" x14ac:dyDescent="0.3">
      <c r="B467" s="7"/>
      <c r="C467" s="8"/>
    </row>
    <row r="468" spans="2:3" ht="13.5" customHeight="1" x14ac:dyDescent="0.3">
      <c r="B468" s="7"/>
      <c r="C468" s="8"/>
    </row>
    <row r="469" spans="2:3" ht="13.5" customHeight="1" x14ac:dyDescent="0.3">
      <c r="B469" s="7"/>
      <c r="C469" s="8"/>
    </row>
    <row r="470" spans="2:3" ht="13.5" customHeight="1" x14ac:dyDescent="0.3">
      <c r="B470" s="7"/>
      <c r="C470" s="8"/>
    </row>
    <row r="471" spans="2:3" ht="13.5" customHeight="1" x14ac:dyDescent="0.3">
      <c r="B471" s="7"/>
      <c r="C471" s="8"/>
    </row>
    <row r="472" spans="2:3" ht="13.5" customHeight="1" x14ac:dyDescent="0.3">
      <c r="B472" s="7"/>
      <c r="C472" s="8"/>
    </row>
    <row r="473" spans="2:3" ht="13.5" customHeight="1" x14ac:dyDescent="0.3">
      <c r="B473" s="7"/>
      <c r="C473" s="8"/>
    </row>
    <row r="474" spans="2:3" ht="13.5" customHeight="1" x14ac:dyDescent="0.3">
      <c r="B474" s="7"/>
      <c r="C474" s="8"/>
    </row>
    <row r="475" spans="2:3" ht="13.5" customHeight="1" x14ac:dyDescent="0.3">
      <c r="B475" s="7"/>
      <c r="C475" s="8"/>
    </row>
    <row r="476" spans="2:3" ht="13.5" customHeight="1" x14ac:dyDescent="0.3">
      <c r="B476" s="7"/>
      <c r="C476" s="8"/>
    </row>
    <row r="477" spans="2:3" ht="13.5" customHeight="1" x14ac:dyDescent="0.3">
      <c r="B477" s="7"/>
      <c r="C477" s="8"/>
    </row>
    <row r="478" spans="2:3" ht="13.5" customHeight="1" x14ac:dyDescent="0.3">
      <c r="B478" s="7"/>
      <c r="C478" s="8"/>
    </row>
    <row r="479" spans="2:3" ht="13.5" customHeight="1" x14ac:dyDescent="0.3">
      <c r="B479" s="7"/>
      <c r="C479" s="8"/>
    </row>
    <row r="480" spans="2:3" ht="13.5" customHeight="1" x14ac:dyDescent="0.3">
      <c r="B480" s="7"/>
      <c r="C480" s="8"/>
    </row>
    <row r="481" spans="2:3" ht="13.5" customHeight="1" x14ac:dyDescent="0.3">
      <c r="B481" s="7"/>
      <c r="C481" s="8"/>
    </row>
    <row r="482" spans="2:3" ht="13.5" customHeight="1" x14ac:dyDescent="0.3">
      <c r="B482" s="7"/>
      <c r="C482" s="8"/>
    </row>
    <row r="483" spans="2:3" ht="13.5" customHeight="1" x14ac:dyDescent="0.3">
      <c r="B483" s="7"/>
      <c r="C483" s="8"/>
    </row>
    <row r="484" spans="2:3" ht="13.5" customHeight="1" x14ac:dyDescent="0.3">
      <c r="B484" s="7"/>
      <c r="C484" s="8"/>
    </row>
    <row r="485" spans="2:3" ht="13.5" customHeight="1" x14ac:dyDescent="0.3">
      <c r="B485" s="7"/>
      <c r="C485" s="8"/>
    </row>
    <row r="486" spans="2:3" ht="13.5" customHeight="1" x14ac:dyDescent="0.3">
      <c r="B486" s="7"/>
      <c r="C486" s="8"/>
    </row>
    <row r="487" spans="2:3" ht="13.5" customHeight="1" x14ac:dyDescent="0.3">
      <c r="B487" s="7"/>
      <c r="C487" s="8"/>
    </row>
    <row r="488" spans="2:3" ht="13.5" customHeight="1" x14ac:dyDescent="0.3">
      <c r="B488" s="7"/>
      <c r="C488" s="8"/>
    </row>
    <row r="489" spans="2:3" ht="13.5" customHeight="1" x14ac:dyDescent="0.3">
      <c r="B489" s="7"/>
      <c r="C489" s="8"/>
    </row>
    <row r="490" spans="2:3" ht="13.5" customHeight="1" x14ac:dyDescent="0.3">
      <c r="B490" s="7"/>
      <c r="C490" s="8"/>
    </row>
    <row r="491" spans="2:3" ht="13.5" customHeight="1" x14ac:dyDescent="0.3">
      <c r="B491" s="7"/>
      <c r="C491" s="8"/>
    </row>
    <row r="492" spans="2:3" ht="13.5" customHeight="1" x14ac:dyDescent="0.3">
      <c r="B492" s="7"/>
      <c r="C492" s="8"/>
    </row>
    <row r="493" spans="2:3" ht="13.5" customHeight="1" x14ac:dyDescent="0.3">
      <c r="B493" s="7"/>
      <c r="C493" s="8"/>
    </row>
    <row r="494" spans="2:3" ht="13.5" customHeight="1" x14ac:dyDescent="0.3">
      <c r="B494" s="7"/>
      <c r="C494" s="8"/>
    </row>
    <row r="495" spans="2:3" ht="13.5" customHeight="1" x14ac:dyDescent="0.3">
      <c r="B495" s="7"/>
      <c r="C495" s="8"/>
    </row>
    <row r="496" spans="2:3" ht="13.5" customHeight="1" x14ac:dyDescent="0.3">
      <c r="B496" s="7"/>
      <c r="C496" s="8"/>
    </row>
    <row r="497" spans="2:3" ht="13.5" customHeight="1" x14ac:dyDescent="0.3">
      <c r="B497" s="7"/>
      <c r="C497" s="8"/>
    </row>
    <row r="498" spans="2:3" ht="13.5" customHeight="1" x14ac:dyDescent="0.3">
      <c r="B498" s="7"/>
      <c r="C498" s="8"/>
    </row>
    <row r="499" spans="2:3" ht="13.5" customHeight="1" x14ac:dyDescent="0.3">
      <c r="B499" s="7"/>
      <c r="C499" s="8"/>
    </row>
    <row r="500" spans="2:3" ht="13.5" customHeight="1" x14ac:dyDescent="0.3">
      <c r="B500" s="7"/>
      <c r="C500" s="8"/>
    </row>
    <row r="501" spans="2:3" ht="13.5" customHeight="1" x14ac:dyDescent="0.3">
      <c r="B501" s="7"/>
      <c r="C501" s="8"/>
    </row>
    <row r="502" spans="2:3" ht="13.5" customHeight="1" x14ac:dyDescent="0.3">
      <c r="B502" s="7"/>
      <c r="C502" s="8"/>
    </row>
    <row r="503" spans="2:3" ht="13.5" customHeight="1" x14ac:dyDescent="0.3">
      <c r="B503" s="7"/>
      <c r="C503" s="8"/>
    </row>
    <row r="504" spans="2:3" ht="13.5" customHeight="1" x14ac:dyDescent="0.3">
      <c r="B504" s="7"/>
      <c r="C504" s="8"/>
    </row>
    <row r="505" spans="2:3" ht="13.5" customHeight="1" x14ac:dyDescent="0.3">
      <c r="B505" s="7"/>
      <c r="C505" s="8"/>
    </row>
    <row r="506" spans="2:3" ht="13.5" customHeight="1" x14ac:dyDescent="0.3">
      <c r="B506" s="7"/>
      <c r="C506" s="8"/>
    </row>
    <row r="507" spans="2:3" ht="13.5" customHeight="1" x14ac:dyDescent="0.3">
      <c r="B507" s="7"/>
      <c r="C507" s="8"/>
    </row>
    <row r="508" spans="2:3" ht="13.5" customHeight="1" x14ac:dyDescent="0.3">
      <c r="B508" s="7"/>
      <c r="C508" s="8"/>
    </row>
    <row r="509" spans="2:3" ht="13.5" customHeight="1" x14ac:dyDescent="0.3">
      <c r="B509" s="7"/>
      <c r="C509" s="8"/>
    </row>
    <row r="510" spans="2:3" ht="13.5" customHeight="1" x14ac:dyDescent="0.3">
      <c r="B510" s="7"/>
      <c r="C510" s="8"/>
    </row>
    <row r="511" spans="2:3" ht="13.5" customHeight="1" x14ac:dyDescent="0.3">
      <c r="B511" s="7"/>
      <c r="C511" s="8"/>
    </row>
    <row r="512" spans="2:3" ht="13.5" customHeight="1" x14ac:dyDescent="0.3">
      <c r="B512" s="7"/>
      <c r="C512" s="8"/>
    </row>
    <row r="513" spans="2:3" ht="13.5" customHeight="1" x14ac:dyDescent="0.3">
      <c r="B513" s="7"/>
      <c r="C513" s="8"/>
    </row>
    <row r="514" spans="2:3" ht="13.5" customHeight="1" x14ac:dyDescent="0.3">
      <c r="B514" s="7"/>
      <c r="C514" s="8"/>
    </row>
    <row r="515" spans="2:3" ht="13.5" customHeight="1" x14ac:dyDescent="0.3">
      <c r="B515" s="7"/>
      <c r="C515" s="8"/>
    </row>
    <row r="516" spans="2:3" ht="13.5" customHeight="1" x14ac:dyDescent="0.3">
      <c r="B516" s="7"/>
      <c r="C516" s="8"/>
    </row>
    <row r="517" spans="2:3" ht="13.5" customHeight="1" x14ac:dyDescent="0.3">
      <c r="B517" s="7"/>
      <c r="C517" s="8"/>
    </row>
    <row r="518" spans="2:3" ht="13.5" customHeight="1" x14ac:dyDescent="0.3">
      <c r="B518" s="7"/>
      <c r="C518" s="8"/>
    </row>
    <row r="519" spans="2:3" ht="13.5" customHeight="1" x14ac:dyDescent="0.3">
      <c r="B519" s="7"/>
      <c r="C519" s="8"/>
    </row>
    <row r="520" spans="2:3" ht="13.5" customHeight="1" x14ac:dyDescent="0.3">
      <c r="B520" s="7"/>
      <c r="C520" s="8"/>
    </row>
    <row r="521" spans="2:3" ht="13.5" customHeight="1" x14ac:dyDescent="0.3">
      <c r="B521" s="7"/>
      <c r="C521" s="8"/>
    </row>
    <row r="522" spans="2:3" ht="13.5" customHeight="1" x14ac:dyDescent="0.3">
      <c r="B522" s="7"/>
      <c r="C522" s="8"/>
    </row>
    <row r="523" spans="2:3" ht="13.5" customHeight="1" x14ac:dyDescent="0.3">
      <c r="B523" s="7"/>
      <c r="C523" s="8"/>
    </row>
    <row r="524" spans="2:3" ht="13.5" customHeight="1" x14ac:dyDescent="0.3">
      <c r="B524" s="7"/>
      <c r="C524" s="8"/>
    </row>
    <row r="525" spans="2:3" ht="13.5" customHeight="1" x14ac:dyDescent="0.3">
      <c r="B525" s="7"/>
      <c r="C525" s="8"/>
    </row>
    <row r="526" spans="2:3" ht="13.5" customHeight="1" x14ac:dyDescent="0.3">
      <c r="B526" s="7"/>
      <c r="C526" s="8"/>
    </row>
    <row r="527" spans="2:3" ht="13.5" customHeight="1" x14ac:dyDescent="0.3">
      <c r="B527" s="7"/>
      <c r="C527" s="8"/>
    </row>
    <row r="528" spans="2:3" ht="13.5" customHeight="1" x14ac:dyDescent="0.3">
      <c r="B528" s="7"/>
      <c r="C528" s="8"/>
    </row>
    <row r="529" spans="2:3" ht="13.5" customHeight="1" x14ac:dyDescent="0.3">
      <c r="B529" s="7"/>
      <c r="C529" s="8"/>
    </row>
    <row r="530" spans="2:3" ht="13.5" customHeight="1" x14ac:dyDescent="0.3">
      <c r="B530" s="7"/>
      <c r="C530" s="8"/>
    </row>
    <row r="531" spans="2:3" ht="13.5" customHeight="1" x14ac:dyDescent="0.3">
      <c r="B531" s="7"/>
      <c r="C531" s="8"/>
    </row>
    <row r="532" spans="2:3" ht="13.5" customHeight="1" x14ac:dyDescent="0.3">
      <c r="B532" s="7"/>
      <c r="C532" s="8"/>
    </row>
    <row r="533" spans="2:3" ht="13.5" customHeight="1" x14ac:dyDescent="0.3">
      <c r="B533" s="7"/>
      <c r="C533" s="8"/>
    </row>
    <row r="534" spans="2:3" ht="13.5" customHeight="1" x14ac:dyDescent="0.3">
      <c r="B534" s="7"/>
      <c r="C534" s="8"/>
    </row>
    <row r="535" spans="2:3" ht="13.5" customHeight="1" x14ac:dyDescent="0.3">
      <c r="B535" s="7"/>
      <c r="C535" s="8"/>
    </row>
    <row r="536" spans="2:3" ht="13.5" customHeight="1" x14ac:dyDescent="0.3">
      <c r="B536" s="7"/>
      <c r="C536" s="8"/>
    </row>
    <row r="537" spans="2:3" ht="13.5" customHeight="1" x14ac:dyDescent="0.3">
      <c r="B537" s="7"/>
      <c r="C537" s="8"/>
    </row>
    <row r="538" spans="2:3" ht="13.5" customHeight="1" x14ac:dyDescent="0.3">
      <c r="B538" s="7"/>
      <c r="C538" s="8"/>
    </row>
    <row r="539" spans="2:3" ht="13.5" customHeight="1" x14ac:dyDescent="0.3">
      <c r="B539" s="7"/>
      <c r="C539" s="8"/>
    </row>
    <row r="540" spans="2:3" ht="13.5" customHeight="1" x14ac:dyDescent="0.3">
      <c r="B540" s="7"/>
      <c r="C540" s="8"/>
    </row>
    <row r="541" spans="2:3" ht="13.5" customHeight="1" x14ac:dyDescent="0.3">
      <c r="B541" s="7"/>
      <c r="C541" s="8"/>
    </row>
    <row r="542" spans="2:3" ht="13.5" customHeight="1" x14ac:dyDescent="0.3">
      <c r="B542" s="7"/>
      <c r="C542" s="8"/>
    </row>
    <row r="543" spans="2:3" ht="13.5" customHeight="1" x14ac:dyDescent="0.3">
      <c r="B543" s="7"/>
      <c r="C543" s="8"/>
    </row>
    <row r="544" spans="2:3" ht="13.5" customHeight="1" x14ac:dyDescent="0.3">
      <c r="B544" s="7"/>
      <c r="C544" s="8"/>
    </row>
    <row r="545" spans="2:3" ht="13.5" customHeight="1" x14ac:dyDescent="0.3">
      <c r="B545" s="7"/>
      <c r="C545" s="8"/>
    </row>
    <row r="546" spans="2:3" ht="13.5" customHeight="1" x14ac:dyDescent="0.3">
      <c r="B546" s="7"/>
      <c r="C546" s="8"/>
    </row>
    <row r="547" spans="2:3" ht="13.5" customHeight="1" x14ac:dyDescent="0.3">
      <c r="B547" s="7"/>
      <c r="C547" s="8"/>
    </row>
    <row r="548" spans="2:3" ht="13.5" customHeight="1" x14ac:dyDescent="0.3">
      <c r="B548" s="7"/>
      <c r="C548" s="8"/>
    </row>
    <row r="549" spans="2:3" ht="13.5" customHeight="1" x14ac:dyDescent="0.3">
      <c r="B549" s="7"/>
      <c r="C549" s="8"/>
    </row>
    <row r="550" spans="2:3" ht="13.5" customHeight="1" x14ac:dyDescent="0.3">
      <c r="B550" s="7"/>
      <c r="C550" s="8"/>
    </row>
    <row r="551" spans="2:3" ht="13.5" customHeight="1" x14ac:dyDescent="0.3">
      <c r="B551" s="7"/>
      <c r="C551" s="8"/>
    </row>
    <row r="552" spans="2:3" ht="13.5" customHeight="1" x14ac:dyDescent="0.3">
      <c r="B552" s="7"/>
      <c r="C552" s="8"/>
    </row>
    <row r="553" spans="2:3" ht="13.5" customHeight="1" x14ac:dyDescent="0.3">
      <c r="B553" s="7"/>
      <c r="C553" s="8"/>
    </row>
    <row r="554" spans="2:3" ht="13.5" customHeight="1" x14ac:dyDescent="0.3">
      <c r="B554" s="7"/>
      <c r="C554" s="8"/>
    </row>
    <row r="555" spans="2:3" ht="13.5" customHeight="1" x14ac:dyDescent="0.3">
      <c r="B555" s="7"/>
      <c r="C555" s="8"/>
    </row>
    <row r="556" spans="2:3" ht="13.5" customHeight="1" x14ac:dyDescent="0.3">
      <c r="B556" s="7"/>
      <c r="C556" s="8"/>
    </row>
    <row r="557" spans="2:3" ht="13.5" customHeight="1" x14ac:dyDescent="0.3">
      <c r="B557" s="7"/>
      <c r="C557" s="8"/>
    </row>
    <row r="558" spans="2:3" ht="13.5" customHeight="1" x14ac:dyDescent="0.3">
      <c r="B558" s="7"/>
      <c r="C558" s="8"/>
    </row>
    <row r="559" spans="2:3" ht="13.5" customHeight="1" x14ac:dyDescent="0.3">
      <c r="B559" s="7"/>
      <c r="C559" s="8"/>
    </row>
    <row r="560" spans="2:3" ht="13.5" customHeight="1" x14ac:dyDescent="0.3">
      <c r="B560" s="7"/>
      <c r="C560" s="8"/>
    </row>
    <row r="561" spans="2:3" ht="13.5" customHeight="1" x14ac:dyDescent="0.3">
      <c r="B561" s="7"/>
      <c r="C561" s="8"/>
    </row>
    <row r="562" spans="2:3" ht="13.5" customHeight="1" x14ac:dyDescent="0.3">
      <c r="B562" s="7"/>
      <c r="C562" s="8"/>
    </row>
    <row r="563" spans="2:3" ht="13.5" customHeight="1" x14ac:dyDescent="0.3">
      <c r="B563" s="7"/>
      <c r="C563" s="8"/>
    </row>
    <row r="564" spans="2:3" ht="13.5" customHeight="1" x14ac:dyDescent="0.3">
      <c r="B564" s="7"/>
      <c r="C564" s="8"/>
    </row>
    <row r="565" spans="2:3" ht="13.5" customHeight="1" x14ac:dyDescent="0.3">
      <c r="B565" s="7"/>
      <c r="C565" s="8"/>
    </row>
    <row r="566" spans="2:3" ht="13.5" customHeight="1" x14ac:dyDescent="0.3">
      <c r="B566" s="7"/>
      <c r="C566" s="8"/>
    </row>
    <row r="567" spans="2:3" ht="13.5" customHeight="1" x14ac:dyDescent="0.3">
      <c r="B567" s="7"/>
      <c r="C567" s="8"/>
    </row>
    <row r="568" spans="2:3" ht="13.5" customHeight="1" x14ac:dyDescent="0.3">
      <c r="B568" s="7"/>
      <c r="C568" s="8"/>
    </row>
    <row r="569" spans="2:3" ht="13.5" customHeight="1" x14ac:dyDescent="0.3">
      <c r="B569" s="7"/>
      <c r="C569" s="8"/>
    </row>
    <row r="570" spans="2:3" ht="13.5" customHeight="1" x14ac:dyDescent="0.3">
      <c r="B570" s="7"/>
      <c r="C570" s="8"/>
    </row>
    <row r="571" spans="2:3" ht="13.5" customHeight="1" x14ac:dyDescent="0.3">
      <c r="B571" s="7"/>
      <c r="C571" s="8"/>
    </row>
    <row r="572" spans="2:3" ht="13.5" customHeight="1" x14ac:dyDescent="0.3">
      <c r="B572" s="7"/>
      <c r="C572" s="8"/>
    </row>
    <row r="573" spans="2:3" ht="13.5" customHeight="1" x14ac:dyDescent="0.3">
      <c r="B573" s="7"/>
      <c r="C573" s="8"/>
    </row>
    <row r="574" spans="2:3" ht="13.5" customHeight="1" x14ac:dyDescent="0.3">
      <c r="B574" s="7"/>
      <c r="C574" s="8"/>
    </row>
    <row r="575" spans="2:3" ht="13.5" customHeight="1" x14ac:dyDescent="0.3">
      <c r="B575" s="7"/>
      <c r="C575" s="8"/>
    </row>
    <row r="576" spans="2:3" ht="13.5" customHeight="1" x14ac:dyDescent="0.3">
      <c r="B576" s="7"/>
      <c r="C576" s="8"/>
    </row>
    <row r="577" spans="2:3" ht="13.5" customHeight="1" x14ac:dyDescent="0.3">
      <c r="B577" s="7"/>
      <c r="C577" s="8"/>
    </row>
    <row r="578" spans="2:3" ht="13.5" customHeight="1" x14ac:dyDescent="0.3">
      <c r="B578" s="7"/>
      <c r="C578" s="8"/>
    </row>
    <row r="579" spans="2:3" ht="13.5" customHeight="1" x14ac:dyDescent="0.3">
      <c r="B579" s="7"/>
      <c r="C579" s="8"/>
    </row>
    <row r="580" spans="2:3" ht="13.5" customHeight="1" x14ac:dyDescent="0.3">
      <c r="B580" s="7"/>
      <c r="C580" s="8"/>
    </row>
    <row r="581" spans="2:3" ht="13.5" customHeight="1" x14ac:dyDescent="0.3">
      <c r="B581" s="7"/>
      <c r="C581" s="8"/>
    </row>
    <row r="582" spans="2:3" ht="13.5" customHeight="1" x14ac:dyDescent="0.3">
      <c r="B582" s="7"/>
      <c r="C582" s="8"/>
    </row>
    <row r="583" spans="2:3" ht="13.5" customHeight="1" x14ac:dyDescent="0.3">
      <c r="B583" s="7"/>
      <c r="C583" s="8"/>
    </row>
    <row r="584" spans="2:3" ht="13.5" customHeight="1" x14ac:dyDescent="0.3">
      <c r="B584" s="7"/>
      <c r="C584" s="8"/>
    </row>
    <row r="585" spans="2:3" ht="13.5" customHeight="1" x14ac:dyDescent="0.3">
      <c r="B585" s="7"/>
      <c r="C585" s="8"/>
    </row>
    <row r="586" spans="2:3" ht="13.5" customHeight="1" x14ac:dyDescent="0.3">
      <c r="B586" s="7"/>
      <c r="C586" s="8"/>
    </row>
    <row r="587" spans="2:3" ht="13.5" customHeight="1" x14ac:dyDescent="0.3">
      <c r="B587" s="7"/>
      <c r="C587" s="8"/>
    </row>
    <row r="588" spans="2:3" ht="13.5" customHeight="1" x14ac:dyDescent="0.3">
      <c r="B588" s="7"/>
      <c r="C588" s="8"/>
    </row>
    <row r="589" spans="2:3" ht="13.5" customHeight="1" x14ac:dyDescent="0.3">
      <c r="B589" s="7"/>
      <c r="C589" s="8"/>
    </row>
    <row r="590" spans="2:3" ht="13.5" customHeight="1" x14ac:dyDescent="0.3">
      <c r="B590" s="7"/>
      <c r="C590" s="8"/>
    </row>
    <row r="591" spans="2:3" ht="13.5" customHeight="1" x14ac:dyDescent="0.3">
      <c r="B591" s="7"/>
      <c r="C591" s="8"/>
    </row>
    <row r="592" spans="2:3" ht="13.5" customHeight="1" x14ac:dyDescent="0.3">
      <c r="B592" s="7"/>
      <c r="C592" s="8"/>
    </row>
    <row r="593" spans="2:3" ht="13.5" customHeight="1" x14ac:dyDescent="0.3">
      <c r="B593" s="7"/>
      <c r="C593" s="8"/>
    </row>
    <row r="594" spans="2:3" ht="13.5" customHeight="1" x14ac:dyDescent="0.3">
      <c r="B594" s="7"/>
      <c r="C594" s="8"/>
    </row>
    <row r="595" spans="2:3" ht="13.5" customHeight="1" x14ac:dyDescent="0.3">
      <c r="B595" s="7"/>
      <c r="C595" s="8"/>
    </row>
    <row r="596" spans="2:3" ht="13.5" customHeight="1" x14ac:dyDescent="0.3">
      <c r="B596" s="7"/>
      <c r="C596" s="8"/>
    </row>
    <row r="597" spans="2:3" ht="13.5" customHeight="1" x14ac:dyDescent="0.3">
      <c r="B597" s="7"/>
      <c r="C597" s="8"/>
    </row>
    <row r="598" spans="2:3" ht="13.5" customHeight="1" x14ac:dyDescent="0.3">
      <c r="B598" s="7"/>
      <c r="C598" s="8"/>
    </row>
    <row r="599" spans="2:3" ht="13.5" customHeight="1" x14ac:dyDescent="0.3">
      <c r="B599" s="7"/>
      <c r="C599" s="8"/>
    </row>
    <row r="600" spans="2:3" ht="13.5" customHeight="1" x14ac:dyDescent="0.3">
      <c r="B600" s="7"/>
      <c r="C600" s="8"/>
    </row>
    <row r="601" spans="2:3" ht="13.5" customHeight="1" x14ac:dyDescent="0.3">
      <c r="B601" s="7"/>
      <c r="C601" s="8"/>
    </row>
    <row r="602" spans="2:3" ht="13.5" customHeight="1" x14ac:dyDescent="0.3">
      <c r="B602" s="7"/>
      <c r="C602" s="8"/>
    </row>
    <row r="603" spans="2:3" ht="13.5" customHeight="1" x14ac:dyDescent="0.3">
      <c r="B603" s="7"/>
      <c r="C603" s="8"/>
    </row>
    <row r="604" spans="2:3" ht="13.5" customHeight="1" x14ac:dyDescent="0.3">
      <c r="B604" s="7"/>
      <c r="C604" s="8"/>
    </row>
    <row r="605" spans="2:3" ht="13.5" customHeight="1" x14ac:dyDescent="0.3">
      <c r="B605" s="7"/>
      <c r="C605" s="8"/>
    </row>
    <row r="606" spans="2:3" ht="13.5" customHeight="1" x14ac:dyDescent="0.3">
      <c r="B606" s="7"/>
      <c r="C606" s="8"/>
    </row>
    <row r="607" spans="2:3" ht="13.5" customHeight="1" x14ac:dyDescent="0.3">
      <c r="B607" s="7"/>
      <c r="C607" s="8"/>
    </row>
    <row r="608" spans="2:3" ht="13.5" customHeight="1" x14ac:dyDescent="0.3">
      <c r="B608" s="7"/>
      <c r="C608" s="8"/>
    </row>
    <row r="609" spans="2:3" ht="13.5" customHeight="1" x14ac:dyDescent="0.3">
      <c r="B609" s="7"/>
      <c r="C609" s="8"/>
    </row>
    <row r="610" spans="2:3" ht="13.5" customHeight="1" x14ac:dyDescent="0.3">
      <c r="B610" s="7"/>
      <c r="C610" s="8"/>
    </row>
    <row r="611" spans="2:3" ht="13.5" customHeight="1" x14ac:dyDescent="0.3">
      <c r="B611" s="7"/>
      <c r="C611" s="8"/>
    </row>
    <row r="612" spans="2:3" ht="13.5" customHeight="1" x14ac:dyDescent="0.3">
      <c r="B612" s="7"/>
      <c r="C612" s="8"/>
    </row>
    <row r="613" spans="2:3" ht="13.5" customHeight="1" x14ac:dyDescent="0.3">
      <c r="B613" s="7"/>
      <c r="C613" s="8"/>
    </row>
    <row r="614" spans="2:3" ht="13.5" customHeight="1" x14ac:dyDescent="0.3">
      <c r="B614" s="7"/>
      <c r="C614" s="8"/>
    </row>
    <row r="615" spans="2:3" ht="13.5" customHeight="1" x14ac:dyDescent="0.3">
      <c r="B615" s="7"/>
      <c r="C615" s="8"/>
    </row>
    <row r="616" spans="2:3" ht="13.5" customHeight="1" x14ac:dyDescent="0.3">
      <c r="B616" s="7"/>
      <c r="C616" s="8"/>
    </row>
    <row r="617" spans="2:3" ht="13.5" customHeight="1" x14ac:dyDescent="0.3">
      <c r="B617" s="7"/>
      <c r="C617" s="8"/>
    </row>
    <row r="618" spans="2:3" ht="13.5" customHeight="1" x14ac:dyDescent="0.3">
      <c r="B618" s="7"/>
      <c r="C618" s="8"/>
    </row>
    <row r="619" spans="2:3" ht="13.5" customHeight="1" x14ac:dyDescent="0.3">
      <c r="B619" s="7"/>
      <c r="C619" s="8"/>
    </row>
    <row r="620" spans="2:3" ht="13.5" customHeight="1" x14ac:dyDescent="0.3">
      <c r="B620" s="7"/>
      <c r="C620" s="8"/>
    </row>
    <row r="621" spans="2:3" ht="13.5" customHeight="1" x14ac:dyDescent="0.3">
      <c r="B621" s="7"/>
      <c r="C621" s="8"/>
    </row>
    <row r="622" spans="2:3" ht="13.5" customHeight="1" x14ac:dyDescent="0.3">
      <c r="B622" s="7"/>
      <c r="C622" s="8"/>
    </row>
    <row r="623" spans="2:3" ht="13.5" customHeight="1" x14ac:dyDescent="0.3">
      <c r="B623" s="7"/>
      <c r="C623" s="8"/>
    </row>
    <row r="624" spans="2:3" ht="13.5" customHeight="1" x14ac:dyDescent="0.3">
      <c r="B624" s="7"/>
      <c r="C624" s="8"/>
    </row>
    <row r="625" spans="2:3" ht="13.5" customHeight="1" x14ac:dyDescent="0.3">
      <c r="B625" s="7"/>
      <c r="C625" s="8"/>
    </row>
    <row r="626" spans="2:3" ht="13.5" customHeight="1" x14ac:dyDescent="0.3">
      <c r="B626" s="7"/>
      <c r="C626" s="8"/>
    </row>
    <row r="627" spans="2:3" ht="13.5" customHeight="1" x14ac:dyDescent="0.3">
      <c r="B627" s="7"/>
      <c r="C627" s="8"/>
    </row>
    <row r="628" spans="2:3" ht="13.5" customHeight="1" x14ac:dyDescent="0.3">
      <c r="B628" s="7"/>
      <c r="C628" s="8"/>
    </row>
    <row r="629" spans="2:3" ht="13.5" customHeight="1" x14ac:dyDescent="0.3">
      <c r="B629" s="7"/>
      <c r="C629" s="8"/>
    </row>
    <row r="630" spans="2:3" ht="13.5" customHeight="1" x14ac:dyDescent="0.3">
      <c r="B630" s="7"/>
      <c r="C630" s="8"/>
    </row>
    <row r="631" spans="2:3" ht="13.5" customHeight="1" x14ac:dyDescent="0.3">
      <c r="B631" s="7"/>
      <c r="C631" s="8"/>
    </row>
    <row r="632" spans="2:3" ht="13.5" customHeight="1" x14ac:dyDescent="0.3">
      <c r="B632" s="7"/>
      <c r="C632" s="8"/>
    </row>
    <row r="633" spans="2:3" ht="13.5" customHeight="1" x14ac:dyDescent="0.3">
      <c r="B633" s="7"/>
      <c r="C633" s="8"/>
    </row>
    <row r="634" spans="2:3" ht="13.5" customHeight="1" x14ac:dyDescent="0.3">
      <c r="B634" s="7"/>
      <c r="C634" s="8"/>
    </row>
    <row r="635" spans="2:3" ht="13.5" customHeight="1" x14ac:dyDescent="0.3">
      <c r="B635" s="7"/>
      <c r="C635" s="8"/>
    </row>
    <row r="636" spans="2:3" ht="13.5" customHeight="1" x14ac:dyDescent="0.3">
      <c r="B636" s="7"/>
      <c r="C636" s="8"/>
    </row>
    <row r="637" spans="2:3" ht="13.5" customHeight="1" x14ac:dyDescent="0.3">
      <c r="B637" s="7"/>
      <c r="C637" s="8"/>
    </row>
    <row r="638" spans="2:3" ht="13.5" customHeight="1" x14ac:dyDescent="0.3">
      <c r="B638" s="7"/>
      <c r="C638" s="8"/>
    </row>
    <row r="639" spans="2:3" ht="13.5" customHeight="1" x14ac:dyDescent="0.3">
      <c r="B639" s="7"/>
      <c r="C639" s="8"/>
    </row>
    <row r="640" spans="2:3" ht="13.5" customHeight="1" x14ac:dyDescent="0.3">
      <c r="B640" s="7"/>
      <c r="C640" s="8"/>
    </row>
    <row r="641" spans="2:3" ht="13.5" customHeight="1" x14ac:dyDescent="0.3">
      <c r="B641" s="7"/>
      <c r="C641" s="8"/>
    </row>
    <row r="642" spans="2:3" ht="13.5" customHeight="1" x14ac:dyDescent="0.3">
      <c r="B642" s="7"/>
      <c r="C642" s="8"/>
    </row>
    <row r="643" spans="2:3" ht="13.5" customHeight="1" x14ac:dyDescent="0.3">
      <c r="B643" s="7"/>
      <c r="C643" s="8"/>
    </row>
    <row r="644" spans="2:3" ht="13.5" customHeight="1" x14ac:dyDescent="0.3">
      <c r="B644" s="7"/>
      <c r="C644" s="8"/>
    </row>
    <row r="645" spans="2:3" ht="13.5" customHeight="1" x14ac:dyDescent="0.3">
      <c r="B645" s="7"/>
      <c r="C645" s="8"/>
    </row>
    <row r="646" spans="2:3" ht="13.5" customHeight="1" x14ac:dyDescent="0.3">
      <c r="B646" s="7"/>
      <c r="C646" s="8"/>
    </row>
    <row r="647" spans="2:3" ht="13.5" customHeight="1" x14ac:dyDescent="0.3">
      <c r="B647" s="7"/>
      <c r="C647" s="8"/>
    </row>
    <row r="648" spans="2:3" ht="13.5" customHeight="1" x14ac:dyDescent="0.3">
      <c r="B648" s="7"/>
      <c r="C648" s="8"/>
    </row>
    <row r="649" spans="2:3" ht="13.5" customHeight="1" x14ac:dyDescent="0.3">
      <c r="B649" s="7"/>
      <c r="C649" s="8"/>
    </row>
    <row r="650" spans="2:3" ht="13.5" customHeight="1" x14ac:dyDescent="0.3">
      <c r="B650" s="7"/>
      <c r="C650" s="8"/>
    </row>
    <row r="651" spans="2:3" ht="13.5" customHeight="1" x14ac:dyDescent="0.3">
      <c r="B651" s="7"/>
      <c r="C651" s="8"/>
    </row>
    <row r="652" spans="2:3" ht="13.5" customHeight="1" x14ac:dyDescent="0.3">
      <c r="B652" s="7"/>
      <c r="C652" s="8"/>
    </row>
    <row r="653" spans="2:3" ht="13.5" customHeight="1" x14ac:dyDescent="0.3">
      <c r="B653" s="7"/>
      <c r="C653" s="8"/>
    </row>
    <row r="654" spans="2:3" ht="13.5" customHeight="1" x14ac:dyDescent="0.3">
      <c r="B654" s="7"/>
      <c r="C654" s="8"/>
    </row>
    <row r="655" spans="2:3" ht="13.5" customHeight="1" x14ac:dyDescent="0.3">
      <c r="B655" s="7"/>
      <c r="C655" s="8"/>
    </row>
    <row r="656" spans="2:3" ht="13.5" customHeight="1" x14ac:dyDescent="0.3">
      <c r="B656" s="7"/>
      <c r="C656" s="8"/>
    </row>
    <row r="657" spans="2:3" ht="13.5" customHeight="1" x14ac:dyDescent="0.3">
      <c r="B657" s="7"/>
      <c r="C657" s="8"/>
    </row>
    <row r="658" spans="2:3" ht="13.5" customHeight="1" x14ac:dyDescent="0.3">
      <c r="B658" s="7"/>
      <c r="C658" s="8"/>
    </row>
    <row r="659" spans="2:3" ht="13.5" customHeight="1" x14ac:dyDescent="0.3">
      <c r="B659" s="7"/>
      <c r="C659" s="8"/>
    </row>
    <row r="660" spans="2:3" ht="13.5" customHeight="1" x14ac:dyDescent="0.3">
      <c r="B660" s="7"/>
      <c r="C660" s="8"/>
    </row>
    <row r="661" spans="2:3" ht="13.5" customHeight="1" x14ac:dyDescent="0.3">
      <c r="B661" s="7"/>
      <c r="C661" s="8"/>
    </row>
    <row r="662" spans="2:3" ht="13.5" customHeight="1" x14ac:dyDescent="0.3">
      <c r="B662" s="7"/>
      <c r="C662" s="8"/>
    </row>
    <row r="663" spans="2:3" ht="13.5" customHeight="1" x14ac:dyDescent="0.3">
      <c r="B663" s="7"/>
      <c r="C663" s="8"/>
    </row>
    <row r="664" spans="2:3" ht="13.5" customHeight="1" x14ac:dyDescent="0.3">
      <c r="B664" s="7"/>
      <c r="C664" s="8"/>
    </row>
    <row r="665" spans="2:3" ht="13.5" customHeight="1" x14ac:dyDescent="0.3">
      <c r="B665" s="7"/>
      <c r="C665" s="8"/>
    </row>
    <row r="666" spans="2:3" ht="13.5" customHeight="1" x14ac:dyDescent="0.3">
      <c r="B666" s="7"/>
      <c r="C666" s="8"/>
    </row>
    <row r="667" spans="2:3" ht="13.5" customHeight="1" x14ac:dyDescent="0.3">
      <c r="B667" s="7"/>
      <c r="C667" s="8"/>
    </row>
    <row r="668" spans="2:3" ht="13.5" customHeight="1" x14ac:dyDescent="0.3">
      <c r="B668" s="7"/>
      <c r="C668" s="8"/>
    </row>
    <row r="669" spans="2:3" ht="13.5" customHeight="1" x14ac:dyDescent="0.3">
      <c r="B669" s="7"/>
      <c r="C669" s="8"/>
    </row>
    <row r="670" spans="2:3" ht="13.5" customHeight="1" x14ac:dyDescent="0.3">
      <c r="B670" s="7"/>
      <c r="C670" s="8"/>
    </row>
    <row r="671" spans="2:3" ht="13.5" customHeight="1" x14ac:dyDescent="0.3">
      <c r="B671" s="7"/>
      <c r="C671" s="8"/>
    </row>
    <row r="672" spans="2:3" ht="13.5" customHeight="1" x14ac:dyDescent="0.3">
      <c r="B672" s="7"/>
      <c r="C672" s="8"/>
    </row>
    <row r="673" spans="2:3" ht="13.5" customHeight="1" x14ac:dyDescent="0.3">
      <c r="B673" s="7"/>
      <c r="C673" s="8"/>
    </row>
    <row r="674" spans="2:3" ht="13.5" customHeight="1" x14ac:dyDescent="0.3">
      <c r="B674" s="7"/>
      <c r="C674" s="8"/>
    </row>
    <row r="675" spans="2:3" ht="13.5" customHeight="1" x14ac:dyDescent="0.3">
      <c r="B675" s="7"/>
      <c r="C675" s="8"/>
    </row>
    <row r="676" spans="2:3" ht="13.5" customHeight="1" x14ac:dyDescent="0.3">
      <c r="B676" s="7"/>
      <c r="C676" s="8"/>
    </row>
    <row r="677" spans="2:3" ht="13.5" customHeight="1" x14ac:dyDescent="0.3">
      <c r="B677" s="7"/>
      <c r="C677" s="8"/>
    </row>
    <row r="678" spans="2:3" ht="13.5" customHeight="1" x14ac:dyDescent="0.3">
      <c r="B678" s="7"/>
      <c r="C678" s="8"/>
    </row>
    <row r="679" spans="2:3" ht="13.5" customHeight="1" x14ac:dyDescent="0.3">
      <c r="B679" s="7"/>
      <c r="C679" s="8"/>
    </row>
    <row r="680" spans="2:3" ht="13.5" customHeight="1" x14ac:dyDescent="0.3">
      <c r="B680" s="7"/>
      <c r="C680" s="8"/>
    </row>
    <row r="681" spans="2:3" ht="13.5" customHeight="1" x14ac:dyDescent="0.3">
      <c r="B681" s="7"/>
      <c r="C681" s="8"/>
    </row>
    <row r="682" spans="2:3" ht="13.5" customHeight="1" x14ac:dyDescent="0.3">
      <c r="B682" s="7"/>
      <c r="C682" s="8"/>
    </row>
    <row r="683" spans="2:3" ht="13.5" customHeight="1" x14ac:dyDescent="0.3">
      <c r="B683" s="7"/>
      <c r="C683" s="8"/>
    </row>
    <row r="684" spans="2:3" ht="13.5" customHeight="1" x14ac:dyDescent="0.3">
      <c r="B684" s="7"/>
      <c r="C684" s="8"/>
    </row>
    <row r="685" spans="2:3" ht="13.5" customHeight="1" x14ac:dyDescent="0.3">
      <c r="B685" s="7"/>
      <c r="C685" s="8"/>
    </row>
    <row r="686" spans="2:3" ht="13.5" customHeight="1" x14ac:dyDescent="0.3">
      <c r="B686" s="7"/>
      <c r="C686" s="8"/>
    </row>
    <row r="687" spans="2:3" ht="13.5" customHeight="1" x14ac:dyDescent="0.3">
      <c r="B687" s="7"/>
      <c r="C687" s="8"/>
    </row>
    <row r="688" spans="2:3" ht="13.5" customHeight="1" x14ac:dyDescent="0.3">
      <c r="B688" s="7"/>
      <c r="C688" s="8"/>
    </row>
    <row r="689" spans="2:3" ht="13.5" customHeight="1" x14ac:dyDescent="0.3">
      <c r="B689" s="7"/>
      <c r="C689" s="8"/>
    </row>
    <row r="690" spans="2:3" ht="13.5" customHeight="1" x14ac:dyDescent="0.3">
      <c r="B690" s="7"/>
      <c r="C690" s="8"/>
    </row>
    <row r="691" spans="2:3" ht="13.5" customHeight="1" x14ac:dyDescent="0.3">
      <c r="B691" s="7"/>
      <c r="C691" s="8"/>
    </row>
    <row r="692" spans="2:3" ht="13.5" customHeight="1" x14ac:dyDescent="0.3">
      <c r="B692" s="7"/>
      <c r="C692" s="8"/>
    </row>
    <row r="693" spans="2:3" ht="13.5" customHeight="1" x14ac:dyDescent="0.3">
      <c r="B693" s="7"/>
      <c r="C693" s="8"/>
    </row>
    <row r="694" spans="2:3" ht="13.5" customHeight="1" x14ac:dyDescent="0.3">
      <c r="B694" s="7"/>
      <c r="C694" s="8"/>
    </row>
    <row r="695" spans="2:3" ht="13.5" customHeight="1" x14ac:dyDescent="0.3">
      <c r="B695" s="7"/>
      <c r="C695" s="8"/>
    </row>
    <row r="696" spans="2:3" ht="13.5" customHeight="1" x14ac:dyDescent="0.3">
      <c r="B696" s="7"/>
      <c r="C696" s="8"/>
    </row>
    <row r="697" spans="2:3" ht="13.5" customHeight="1" x14ac:dyDescent="0.3">
      <c r="B697" s="7"/>
      <c r="C697" s="8"/>
    </row>
    <row r="698" spans="2:3" ht="13.5" customHeight="1" x14ac:dyDescent="0.3">
      <c r="B698" s="7"/>
      <c r="C698" s="8"/>
    </row>
    <row r="699" spans="2:3" ht="13.5" customHeight="1" x14ac:dyDescent="0.3">
      <c r="B699" s="7"/>
      <c r="C699" s="8"/>
    </row>
    <row r="700" spans="2:3" ht="13.5" customHeight="1" x14ac:dyDescent="0.3">
      <c r="B700" s="7"/>
      <c r="C700" s="8"/>
    </row>
    <row r="701" spans="2:3" ht="13.5" customHeight="1" x14ac:dyDescent="0.3">
      <c r="B701" s="7"/>
      <c r="C701" s="8"/>
    </row>
    <row r="702" spans="2:3" ht="13.5" customHeight="1" x14ac:dyDescent="0.3">
      <c r="B702" s="7"/>
      <c r="C702" s="8"/>
    </row>
    <row r="703" spans="2:3" ht="13.5" customHeight="1" x14ac:dyDescent="0.3">
      <c r="B703" s="7"/>
      <c r="C703" s="8"/>
    </row>
    <row r="704" spans="2:3" ht="13.5" customHeight="1" x14ac:dyDescent="0.3">
      <c r="B704" s="7"/>
      <c r="C704" s="8"/>
    </row>
    <row r="705" spans="2:3" ht="13.5" customHeight="1" x14ac:dyDescent="0.3">
      <c r="B705" s="7"/>
      <c r="C705" s="8"/>
    </row>
    <row r="706" spans="2:3" ht="13.5" customHeight="1" x14ac:dyDescent="0.3">
      <c r="B706" s="7"/>
      <c r="C706" s="8"/>
    </row>
    <row r="707" spans="2:3" ht="13.5" customHeight="1" x14ac:dyDescent="0.3">
      <c r="B707" s="7"/>
      <c r="C707" s="8"/>
    </row>
    <row r="708" spans="2:3" ht="13.5" customHeight="1" x14ac:dyDescent="0.3">
      <c r="B708" s="7"/>
      <c r="C708" s="8"/>
    </row>
    <row r="709" spans="2:3" ht="13.5" customHeight="1" x14ac:dyDescent="0.3">
      <c r="B709" s="7"/>
      <c r="C709" s="8"/>
    </row>
    <row r="710" spans="2:3" ht="13.5" customHeight="1" x14ac:dyDescent="0.3">
      <c r="B710" s="7"/>
      <c r="C710" s="8"/>
    </row>
    <row r="711" spans="2:3" ht="13.5" customHeight="1" x14ac:dyDescent="0.3">
      <c r="B711" s="7"/>
      <c r="C711" s="8"/>
    </row>
    <row r="712" spans="2:3" ht="13.5" customHeight="1" x14ac:dyDescent="0.3">
      <c r="B712" s="7"/>
      <c r="C712" s="8"/>
    </row>
    <row r="713" spans="2:3" ht="13.5" customHeight="1" x14ac:dyDescent="0.3">
      <c r="B713" s="7"/>
      <c r="C713" s="8"/>
    </row>
    <row r="714" spans="2:3" ht="13.5" customHeight="1" x14ac:dyDescent="0.3">
      <c r="B714" s="7"/>
      <c r="C714" s="8"/>
    </row>
    <row r="715" spans="2:3" ht="13.5" customHeight="1" x14ac:dyDescent="0.3">
      <c r="B715" s="7"/>
      <c r="C715" s="8"/>
    </row>
    <row r="716" spans="2:3" ht="13.5" customHeight="1" x14ac:dyDescent="0.3">
      <c r="B716" s="7"/>
      <c r="C716" s="8"/>
    </row>
    <row r="717" spans="2:3" ht="13.5" customHeight="1" x14ac:dyDescent="0.3">
      <c r="B717" s="7"/>
      <c r="C717" s="8"/>
    </row>
    <row r="718" spans="2:3" ht="13.5" customHeight="1" x14ac:dyDescent="0.3">
      <c r="B718" s="7"/>
      <c r="C718" s="8"/>
    </row>
    <row r="719" spans="2:3" ht="13.5" customHeight="1" x14ac:dyDescent="0.3">
      <c r="B719" s="7"/>
      <c r="C719" s="8"/>
    </row>
    <row r="720" spans="2:3" ht="13.5" customHeight="1" x14ac:dyDescent="0.3">
      <c r="B720" s="7"/>
      <c r="C720" s="8"/>
    </row>
    <row r="721" spans="2:3" ht="13.5" customHeight="1" x14ac:dyDescent="0.3">
      <c r="B721" s="7"/>
      <c r="C721" s="8"/>
    </row>
    <row r="722" spans="2:3" ht="13.5" customHeight="1" x14ac:dyDescent="0.3">
      <c r="B722" s="7"/>
      <c r="C722" s="8"/>
    </row>
    <row r="723" spans="2:3" ht="13.5" customHeight="1" x14ac:dyDescent="0.3">
      <c r="B723" s="7"/>
      <c r="C723" s="8"/>
    </row>
    <row r="724" spans="2:3" ht="13.5" customHeight="1" x14ac:dyDescent="0.3">
      <c r="B724" s="7"/>
      <c r="C724" s="8"/>
    </row>
    <row r="725" spans="2:3" ht="13.5" customHeight="1" x14ac:dyDescent="0.3">
      <c r="B725" s="7"/>
      <c r="C725" s="8"/>
    </row>
    <row r="726" spans="2:3" ht="13.5" customHeight="1" x14ac:dyDescent="0.3">
      <c r="B726" s="7"/>
      <c r="C726" s="8"/>
    </row>
    <row r="727" spans="2:3" ht="13.5" customHeight="1" x14ac:dyDescent="0.3">
      <c r="B727" s="7"/>
      <c r="C727" s="8"/>
    </row>
    <row r="728" spans="2:3" ht="13.5" customHeight="1" x14ac:dyDescent="0.3">
      <c r="B728" s="7"/>
      <c r="C728" s="8"/>
    </row>
    <row r="729" spans="2:3" ht="13.5" customHeight="1" x14ac:dyDescent="0.3">
      <c r="B729" s="7"/>
      <c r="C729" s="8"/>
    </row>
    <row r="730" spans="2:3" ht="13.5" customHeight="1" x14ac:dyDescent="0.3">
      <c r="B730" s="7"/>
      <c r="C730" s="8"/>
    </row>
    <row r="731" spans="2:3" ht="13.5" customHeight="1" x14ac:dyDescent="0.3">
      <c r="B731" s="7"/>
      <c r="C731" s="8"/>
    </row>
    <row r="732" spans="2:3" ht="13.5" customHeight="1" x14ac:dyDescent="0.3">
      <c r="B732" s="7"/>
      <c r="C732" s="8"/>
    </row>
    <row r="733" spans="2:3" ht="13.5" customHeight="1" x14ac:dyDescent="0.3">
      <c r="B733" s="7"/>
      <c r="C733" s="8"/>
    </row>
    <row r="734" spans="2:3" ht="13.5" customHeight="1" x14ac:dyDescent="0.3">
      <c r="B734" s="7"/>
      <c r="C734" s="8"/>
    </row>
    <row r="735" spans="2:3" ht="13.5" customHeight="1" x14ac:dyDescent="0.3">
      <c r="B735" s="7"/>
      <c r="C735" s="8"/>
    </row>
    <row r="736" spans="2:3" ht="13.5" customHeight="1" x14ac:dyDescent="0.3">
      <c r="B736" s="7"/>
      <c r="C736" s="8"/>
    </row>
    <row r="737" spans="2:3" ht="13.5" customHeight="1" x14ac:dyDescent="0.3">
      <c r="B737" s="7"/>
      <c r="C737" s="8"/>
    </row>
    <row r="738" spans="2:3" ht="13.5" customHeight="1" x14ac:dyDescent="0.3">
      <c r="B738" s="7"/>
      <c r="C738" s="8"/>
    </row>
    <row r="739" spans="2:3" ht="13.5" customHeight="1" x14ac:dyDescent="0.3">
      <c r="B739" s="7"/>
      <c r="C739" s="8"/>
    </row>
    <row r="740" spans="2:3" ht="13.5" customHeight="1" x14ac:dyDescent="0.3">
      <c r="B740" s="7"/>
      <c r="C740" s="8"/>
    </row>
    <row r="741" spans="2:3" ht="13.5" customHeight="1" x14ac:dyDescent="0.3">
      <c r="B741" s="7"/>
      <c r="C741" s="8"/>
    </row>
    <row r="742" spans="2:3" ht="13.5" customHeight="1" x14ac:dyDescent="0.3">
      <c r="B742" s="7"/>
      <c r="C742" s="8"/>
    </row>
    <row r="743" spans="2:3" ht="13.5" customHeight="1" x14ac:dyDescent="0.3">
      <c r="B743" s="7"/>
      <c r="C743" s="8"/>
    </row>
    <row r="744" spans="2:3" ht="13.5" customHeight="1" x14ac:dyDescent="0.3">
      <c r="B744" s="7"/>
      <c r="C744" s="8"/>
    </row>
    <row r="745" spans="2:3" ht="13.5" customHeight="1" x14ac:dyDescent="0.3">
      <c r="B745" s="7"/>
      <c r="C745" s="8"/>
    </row>
    <row r="746" spans="2:3" ht="13.5" customHeight="1" x14ac:dyDescent="0.3">
      <c r="B746" s="7"/>
      <c r="C746" s="8"/>
    </row>
    <row r="747" spans="2:3" ht="13.5" customHeight="1" x14ac:dyDescent="0.3">
      <c r="B747" s="7"/>
      <c r="C747" s="8"/>
    </row>
    <row r="748" spans="2:3" ht="13.5" customHeight="1" x14ac:dyDescent="0.3">
      <c r="B748" s="7"/>
      <c r="C748" s="8"/>
    </row>
    <row r="749" spans="2:3" ht="13.5" customHeight="1" x14ac:dyDescent="0.3">
      <c r="B749" s="7"/>
      <c r="C749" s="8"/>
    </row>
    <row r="750" spans="2:3" ht="13.5" customHeight="1" x14ac:dyDescent="0.3">
      <c r="B750" s="7"/>
      <c r="C750" s="8"/>
    </row>
    <row r="751" spans="2:3" ht="13.5" customHeight="1" x14ac:dyDescent="0.3">
      <c r="B751" s="7"/>
      <c r="C751" s="8"/>
    </row>
    <row r="752" spans="2:3" ht="13.5" customHeight="1" x14ac:dyDescent="0.3">
      <c r="B752" s="7"/>
      <c r="C752" s="8"/>
    </row>
    <row r="753" spans="2:3" ht="13.5" customHeight="1" x14ac:dyDescent="0.3">
      <c r="B753" s="7"/>
      <c r="C753" s="8"/>
    </row>
    <row r="754" spans="2:3" ht="13.5" customHeight="1" x14ac:dyDescent="0.3">
      <c r="B754" s="7"/>
      <c r="C754" s="8"/>
    </row>
    <row r="755" spans="2:3" ht="13.5" customHeight="1" x14ac:dyDescent="0.3">
      <c r="B755" s="7"/>
      <c r="C755" s="8"/>
    </row>
    <row r="756" spans="2:3" ht="13.5" customHeight="1" x14ac:dyDescent="0.3">
      <c r="B756" s="7"/>
      <c r="C756" s="8"/>
    </row>
    <row r="757" spans="2:3" ht="13.5" customHeight="1" x14ac:dyDescent="0.3">
      <c r="B757" s="7"/>
      <c r="C757" s="8"/>
    </row>
    <row r="758" spans="2:3" ht="13.5" customHeight="1" x14ac:dyDescent="0.3">
      <c r="B758" s="7"/>
      <c r="C758" s="8"/>
    </row>
    <row r="759" spans="2:3" ht="13.5" customHeight="1" x14ac:dyDescent="0.3">
      <c r="B759" s="7"/>
      <c r="C759" s="8"/>
    </row>
    <row r="760" spans="2:3" ht="13.5" customHeight="1" x14ac:dyDescent="0.3">
      <c r="B760" s="7"/>
      <c r="C760" s="8"/>
    </row>
    <row r="761" spans="2:3" ht="13.5" customHeight="1" x14ac:dyDescent="0.3">
      <c r="B761" s="7"/>
      <c r="C761" s="8"/>
    </row>
    <row r="762" spans="2:3" ht="13.5" customHeight="1" x14ac:dyDescent="0.3">
      <c r="B762" s="7"/>
      <c r="C762" s="8"/>
    </row>
    <row r="763" spans="2:3" ht="13.5" customHeight="1" x14ac:dyDescent="0.3">
      <c r="B763" s="7"/>
      <c r="C763" s="8"/>
    </row>
    <row r="764" spans="2:3" ht="13.5" customHeight="1" x14ac:dyDescent="0.3">
      <c r="B764" s="7"/>
      <c r="C764" s="8"/>
    </row>
    <row r="765" spans="2:3" ht="13.5" customHeight="1" x14ac:dyDescent="0.3">
      <c r="B765" s="7"/>
      <c r="C765" s="8"/>
    </row>
    <row r="766" spans="2:3" ht="13.5" customHeight="1" x14ac:dyDescent="0.3">
      <c r="B766" s="7"/>
      <c r="C766" s="8"/>
    </row>
    <row r="767" spans="2:3" ht="13.5" customHeight="1" x14ac:dyDescent="0.3">
      <c r="B767" s="7"/>
      <c r="C767" s="8"/>
    </row>
    <row r="768" spans="2:3" ht="13.5" customHeight="1" x14ac:dyDescent="0.3">
      <c r="B768" s="7"/>
      <c r="C768" s="8"/>
    </row>
    <row r="769" spans="2:3" ht="13.5" customHeight="1" x14ac:dyDescent="0.3">
      <c r="B769" s="7"/>
      <c r="C769" s="8"/>
    </row>
    <row r="770" spans="2:3" ht="13.5" customHeight="1" x14ac:dyDescent="0.3">
      <c r="B770" s="7"/>
      <c r="C770" s="8"/>
    </row>
    <row r="771" spans="2:3" ht="13.5" customHeight="1" x14ac:dyDescent="0.3">
      <c r="B771" s="7"/>
      <c r="C771" s="8"/>
    </row>
    <row r="772" spans="2:3" ht="13.5" customHeight="1" x14ac:dyDescent="0.3">
      <c r="B772" s="7"/>
      <c r="C772" s="8"/>
    </row>
    <row r="773" spans="2:3" ht="13.5" customHeight="1" x14ac:dyDescent="0.3">
      <c r="B773" s="7"/>
      <c r="C773" s="8"/>
    </row>
    <row r="774" spans="2:3" ht="13.5" customHeight="1" x14ac:dyDescent="0.3">
      <c r="B774" s="7"/>
      <c r="C774" s="8"/>
    </row>
    <row r="775" spans="2:3" ht="13.5" customHeight="1" x14ac:dyDescent="0.3">
      <c r="B775" s="7"/>
      <c r="C775" s="8"/>
    </row>
    <row r="776" spans="2:3" ht="13.5" customHeight="1" x14ac:dyDescent="0.3">
      <c r="B776" s="7"/>
      <c r="C776" s="8"/>
    </row>
    <row r="777" spans="2:3" ht="13.5" customHeight="1" x14ac:dyDescent="0.3">
      <c r="B777" s="7"/>
      <c r="C777" s="8"/>
    </row>
    <row r="778" spans="2:3" ht="13.5" customHeight="1" x14ac:dyDescent="0.3">
      <c r="B778" s="7"/>
      <c r="C778" s="8"/>
    </row>
    <row r="779" spans="2:3" ht="13.5" customHeight="1" x14ac:dyDescent="0.3">
      <c r="B779" s="7"/>
      <c r="C779" s="8"/>
    </row>
    <row r="780" spans="2:3" ht="13.5" customHeight="1" x14ac:dyDescent="0.3">
      <c r="B780" s="7"/>
      <c r="C780" s="8"/>
    </row>
    <row r="781" spans="2:3" ht="13.5" customHeight="1" x14ac:dyDescent="0.3">
      <c r="B781" s="7"/>
      <c r="C781" s="8"/>
    </row>
    <row r="782" spans="2:3" ht="13.5" customHeight="1" x14ac:dyDescent="0.3">
      <c r="B782" s="7"/>
      <c r="C782" s="8"/>
    </row>
    <row r="783" spans="2:3" ht="13.5" customHeight="1" x14ac:dyDescent="0.3">
      <c r="B783" s="7"/>
      <c r="C783" s="8"/>
    </row>
    <row r="784" spans="2:3" ht="13.5" customHeight="1" x14ac:dyDescent="0.3">
      <c r="B784" s="7"/>
      <c r="C784" s="8"/>
    </row>
    <row r="785" spans="2:3" ht="13.5" customHeight="1" x14ac:dyDescent="0.3">
      <c r="B785" s="7"/>
      <c r="C785" s="8"/>
    </row>
    <row r="786" spans="2:3" ht="13.5" customHeight="1" x14ac:dyDescent="0.3">
      <c r="B786" s="7"/>
      <c r="C786" s="8"/>
    </row>
    <row r="787" spans="2:3" ht="13.5" customHeight="1" x14ac:dyDescent="0.3">
      <c r="B787" s="7"/>
      <c r="C787" s="8"/>
    </row>
    <row r="788" spans="2:3" ht="13.5" customHeight="1" x14ac:dyDescent="0.3">
      <c r="B788" s="7"/>
      <c r="C788" s="8"/>
    </row>
    <row r="789" spans="2:3" ht="13.5" customHeight="1" x14ac:dyDescent="0.3">
      <c r="B789" s="7"/>
      <c r="C789" s="8"/>
    </row>
    <row r="790" spans="2:3" ht="13.5" customHeight="1" x14ac:dyDescent="0.3">
      <c r="B790" s="7"/>
      <c r="C790" s="8"/>
    </row>
    <row r="791" spans="2:3" ht="13.5" customHeight="1" x14ac:dyDescent="0.3">
      <c r="B791" s="7"/>
      <c r="C791" s="8"/>
    </row>
    <row r="792" spans="2:3" ht="13.5" customHeight="1" x14ac:dyDescent="0.3">
      <c r="B792" s="7"/>
      <c r="C792" s="8"/>
    </row>
    <row r="793" spans="2:3" ht="13.5" customHeight="1" x14ac:dyDescent="0.3">
      <c r="B793" s="7"/>
      <c r="C793" s="8"/>
    </row>
    <row r="794" spans="2:3" ht="13.5" customHeight="1" x14ac:dyDescent="0.3">
      <c r="B794" s="7"/>
      <c r="C794" s="8"/>
    </row>
    <row r="795" spans="2:3" ht="13.5" customHeight="1" x14ac:dyDescent="0.3">
      <c r="B795" s="7"/>
      <c r="C795" s="8"/>
    </row>
    <row r="796" spans="2:3" ht="13.5" customHeight="1" x14ac:dyDescent="0.3">
      <c r="B796" s="7"/>
      <c r="C796" s="8"/>
    </row>
    <row r="797" spans="2:3" ht="13.5" customHeight="1" x14ac:dyDescent="0.3">
      <c r="B797" s="7"/>
      <c r="C797" s="8"/>
    </row>
    <row r="798" spans="2:3" ht="13.5" customHeight="1" x14ac:dyDescent="0.3">
      <c r="B798" s="7"/>
      <c r="C798" s="8"/>
    </row>
    <row r="799" spans="2:3" ht="13.5" customHeight="1" x14ac:dyDescent="0.3">
      <c r="B799" s="7"/>
      <c r="C799" s="8"/>
    </row>
    <row r="800" spans="2:3" ht="13.5" customHeight="1" x14ac:dyDescent="0.3">
      <c r="B800" s="7"/>
      <c r="C800" s="8"/>
    </row>
    <row r="801" spans="2:3" ht="13.5" customHeight="1" x14ac:dyDescent="0.3">
      <c r="B801" s="7"/>
      <c r="C801" s="8"/>
    </row>
    <row r="802" spans="2:3" ht="13.5" customHeight="1" x14ac:dyDescent="0.3">
      <c r="B802" s="7"/>
      <c r="C802" s="8"/>
    </row>
    <row r="803" spans="2:3" ht="13.5" customHeight="1" x14ac:dyDescent="0.3">
      <c r="B803" s="7"/>
      <c r="C803" s="8"/>
    </row>
    <row r="804" spans="2:3" ht="13.5" customHeight="1" x14ac:dyDescent="0.3">
      <c r="B804" s="7"/>
      <c r="C804" s="8"/>
    </row>
    <row r="805" spans="2:3" ht="13.5" customHeight="1" x14ac:dyDescent="0.3">
      <c r="B805" s="7"/>
      <c r="C805" s="8"/>
    </row>
    <row r="806" spans="2:3" ht="13.5" customHeight="1" x14ac:dyDescent="0.3">
      <c r="B806" s="7"/>
      <c r="C806" s="8"/>
    </row>
    <row r="807" spans="2:3" ht="13.5" customHeight="1" x14ac:dyDescent="0.3">
      <c r="B807" s="7"/>
      <c r="C807" s="8"/>
    </row>
    <row r="808" spans="2:3" ht="13.5" customHeight="1" x14ac:dyDescent="0.3">
      <c r="B808" s="7"/>
      <c r="C808" s="8"/>
    </row>
    <row r="809" spans="2:3" ht="13.5" customHeight="1" x14ac:dyDescent="0.3">
      <c r="B809" s="7"/>
      <c r="C809" s="8"/>
    </row>
    <row r="810" spans="2:3" ht="13.5" customHeight="1" x14ac:dyDescent="0.3">
      <c r="B810" s="7"/>
      <c r="C810" s="8"/>
    </row>
    <row r="811" spans="2:3" ht="13.5" customHeight="1" x14ac:dyDescent="0.3">
      <c r="B811" s="7"/>
      <c r="C811" s="8"/>
    </row>
    <row r="812" spans="2:3" ht="13.5" customHeight="1" x14ac:dyDescent="0.3">
      <c r="B812" s="7"/>
      <c r="C812" s="8"/>
    </row>
    <row r="813" spans="2:3" ht="13.5" customHeight="1" x14ac:dyDescent="0.3">
      <c r="B813" s="7"/>
      <c r="C813" s="8"/>
    </row>
    <row r="814" spans="2:3" ht="13.5" customHeight="1" x14ac:dyDescent="0.3">
      <c r="B814" s="7"/>
      <c r="C814" s="8"/>
    </row>
    <row r="815" spans="2:3" ht="13.5" customHeight="1" x14ac:dyDescent="0.3">
      <c r="B815" s="7"/>
      <c r="C815" s="8"/>
    </row>
    <row r="816" spans="2:3" ht="13.5" customHeight="1" x14ac:dyDescent="0.3">
      <c r="B816" s="7"/>
      <c r="C816" s="8"/>
    </row>
    <row r="817" spans="2:3" ht="13.5" customHeight="1" x14ac:dyDescent="0.3">
      <c r="B817" s="7"/>
      <c r="C817" s="8"/>
    </row>
    <row r="818" spans="2:3" ht="13.5" customHeight="1" x14ac:dyDescent="0.3">
      <c r="B818" s="7"/>
      <c r="C818" s="8"/>
    </row>
    <row r="819" spans="2:3" ht="13.5" customHeight="1" x14ac:dyDescent="0.3">
      <c r="B819" s="7"/>
      <c r="C819" s="8"/>
    </row>
    <row r="820" spans="2:3" ht="13.5" customHeight="1" x14ac:dyDescent="0.3">
      <c r="B820" s="7"/>
      <c r="C820" s="8"/>
    </row>
    <row r="821" spans="2:3" ht="13.5" customHeight="1" x14ac:dyDescent="0.3">
      <c r="B821" s="7"/>
      <c r="C821" s="8"/>
    </row>
    <row r="822" spans="2:3" ht="13.5" customHeight="1" x14ac:dyDescent="0.3">
      <c r="B822" s="7"/>
      <c r="C822" s="8"/>
    </row>
    <row r="823" spans="2:3" ht="13.5" customHeight="1" x14ac:dyDescent="0.3">
      <c r="B823" s="7"/>
      <c r="C823" s="8"/>
    </row>
    <row r="824" spans="2:3" ht="13.5" customHeight="1" x14ac:dyDescent="0.3">
      <c r="B824" s="7"/>
      <c r="C824" s="8"/>
    </row>
    <row r="825" spans="2:3" ht="13.5" customHeight="1" x14ac:dyDescent="0.3">
      <c r="B825" s="7"/>
      <c r="C825" s="8"/>
    </row>
    <row r="826" spans="2:3" ht="13.5" customHeight="1" x14ac:dyDescent="0.3">
      <c r="B826" s="7"/>
      <c r="C826" s="8"/>
    </row>
    <row r="827" spans="2:3" ht="13.5" customHeight="1" x14ac:dyDescent="0.3">
      <c r="B827" s="7"/>
      <c r="C827" s="8"/>
    </row>
    <row r="828" spans="2:3" ht="13.5" customHeight="1" x14ac:dyDescent="0.3">
      <c r="B828" s="7"/>
      <c r="C828" s="8"/>
    </row>
    <row r="829" spans="2:3" ht="13.5" customHeight="1" x14ac:dyDescent="0.3">
      <c r="B829" s="7"/>
      <c r="C829" s="8"/>
    </row>
    <row r="830" spans="2:3" ht="13.5" customHeight="1" x14ac:dyDescent="0.3">
      <c r="B830" s="7"/>
      <c r="C830" s="8"/>
    </row>
    <row r="831" spans="2:3" ht="13.5" customHeight="1" x14ac:dyDescent="0.3">
      <c r="B831" s="7"/>
      <c r="C831" s="8"/>
    </row>
    <row r="832" spans="2:3" ht="13.5" customHeight="1" x14ac:dyDescent="0.3">
      <c r="B832" s="7"/>
      <c r="C832" s="8"/>
    </row>
    <row r="833" spans="2:3" ht="13.5" customHeight="1" x14ac:dyDescent="0.3">
      <c r="B833" s="7"/>
      <c r="C833" s="8"/>
    </row>
    <row r="834" spans="2:3" ht="13.5" customHeight="1" x14ac:dyDescent="0.3">
      <c r="B834" s="7"/>
      <c r="C834" s="8"/>
    </row>
    <row r="835" spans="2:3" ht="13.5" customHeight="1" x14ac:dyDescent="0.3">
      <c r="B835" s="7"/>
      <c r="C835" s="8"/>
    </row>
    <row r="836" spans="2:3" ht="13.5" customHeight="1" x14ac:dyDescent="0.3">
      <c r="B836" s="7"/>
      <c r="C836" s="8"/>
    </row>
    <row r="837" spans="2:3" ht="13.5" customHeight="1" x14ac:dyDescent="0.3">
      <c r="B837" s="7"/>
      <c r="C837" s="8"/>
    </row>
    <row r="838" spans="2:3" ht="13.5" customHeight="1" x14ac:dyDescent="0.3">
      <c r="B838" s="7"/>
      <c r="C838" s="8"/>
    </row>
    <row r="839" spans="2:3" ht="13.5" customHeight="1" x14ac:dyDescent="0.3">
      <c r="B839" s="7"/>
      <c r="C839" s="8"/>
    </row>
    <row r="840" spans="2:3" ht="13.5" customHeight="1" x14ac:dyDescent="0.3">
      <c r="B840" s="7"/>
      <c r="C840" s="8"/>
    </row>
    <row r="841" spans="2:3" ht="13.5" customHeight="1" x14ac:dyDescent="0.3">
      <c r="B841" s="7"/>
      <c r="C841" s="8"/>
    </row>
    <row r="842" spans="2:3" ht="13.5" customHeight="1" x14ac:dyDescent="0.3">
      <c r="B842" s="7"/>
      <c r="C842" s="8"/>
    </row>
    <row r="843" spans="2:3" ht="13.5" customHeight="1" x14ac:dyDescent="0.3">
      <c r="B843" s="7"/>
      <c r="C843" s="8"/>
    </row>
    <row r="844" spans="2:3" ht="13.5" customHeight="1" x14ac:dyDescent="0.3">
      <c r="B844" s="7"/>
      <c r="C844" s="8"/>
    </row>
    <row r="845" spans="2:3" ht="13.5" customHeight="1" x14ac:dyDescent="0.3">
      <c r="B845" s="7"/>
      <c r="C845" s="8"/>
    </row>
    <row r="846" spans="2:3" ht="13.5" customHeight="1" x14ac:dyDescent="0.3">
      <c r="B846" s="7"/>
      <c r="C846" s="8"/>
    </row>
    <row r="847" spans="2:3" ht="13.5" customHeight="1" x14ac:dyDescent="0.3">
      <c r="B847" s="7"/>
      <c r="C847" s="8"/>
    </row>
    <row r="848" spans="2:3" ht="13.5" customHeight="1" x14ac:dyDescent="0.3">
      <c r="B848" s="7"/>
      <c r="C848" s="8"/>
    </row>
    <row r="849" spans="2:3" ht="13.5" customHeight="1" x14ac:dyDescent="0.3">
      <c r="B849" s="7"/>
      <c r="C849" s="8"/>
    </row>
    <row r="850" spans="2:3" ht="13.5" customHeight="1" x14ac:dyDescent="0.3">
      <c r="B850" s="7"/>
      <c r="C850" s="8"/>
    </row>
    <row r="851" spans="2:3" ht="13.5" customHeight="1" x14ac:dyDescent="0.3">
      <c r="B851" s="7"/>
      <c r="C851" s="8"/>
    </row>
    <row r="852" spans="2:3" ht="13.5" customHeight="1" x14ac:dyDescent="0.3">
      <c r="B852" s="7"/>
      <c r="C852" s="8"/>
    </row>
    <row r="853" spans="2:3" ht="13.5" customHeight="1" x14ac:dyDescent="0.3">
      <c r="B853" s="7"/>
      <c r="C853" s="8"/>
    </row>
    <row r="854" spans="2:3" ht="13.5" customHeight="1" x14ac:dyDescent="0.3">
      <c r="B854" s="7"/>
      <c r="C854" s="8"/>
    </row>
    <row r="855" spans="2:3" ht="13.5" customHeight="1" x14ac:dyDescent="0.3">
      <c r="B855" s="7"/>
      <c r="C855" s="8"/>
    </row>
    <row r="856" spans="2:3" ht="13.5" customHeight="1" x14ac:dyDescent="0.3">
      <c r="B856" s="7"/>
      <c r="C856" s="8"/>
    </row>
    <row r="857" spans="2:3" ht="13.5" customHeight="1" x14ac:dyDescent="0.3">
      <c r="B857" s="7"/>
      <c r="C857" s="8"/>
    </row>
    <row r="858" spans="2:3" ht="13.5" customHeight="1" x14ac:dyDescent="0.3">
      <c r="B858" s="7"/>
      <c r="C858" s="8"/>
    </row>
    <row r="859" spans="2:3" ht="13.5" customHeight="1" x14ac:dyDescent="0.3">
      <c r="B859" s="7"/>
      <c r="C859" s="8"/>
    </row>
    <row r="860" spans="2:3" ht="13.5" customHeight="1" x14ac:dyDescent="0.3">
      <c r="B860" s="7"/>
      <c r="C860" s="8"/>
    </row>
    <row r="861" spans="2:3" ht="13.5" customHeight="1" x14ac:dyDescent="0.3">
      <c r="B861" s="7"/>
      <c r="C861" s="8"/>
    </row>
    <row r="862" spans="2:3" ht="13.5" customHeight="1" x14ac:dyDescent="0.3">
      <c r="B862" s="7"/>
      <c r="C862" s="8"/>
    </row>
    <row r="863" spans="2:3" ht="13.5" customHeight="1" x14ac:dyDescent="0.3">
      <c r="B863" s="7"/>
      <c r="C863" s="8"/>
    </row>
    <row r="864" spans="2:3" ht="13.5" customHeight="1" x14ac:dyDescent="0.3">
      <c r="B864" s="7"/>
      <c r="C864" s="8"/>
    </row>
    <row r="865" spans="2:3" ht="13.5" customHeight="1" x14ac:dyDescent="0.3">
      <c r="B865" s="7"/>
      <c r="C865" s="8"/>
    </row>
    <row r="866" spans="2:3" ht="13.5" customHeight="1" x14ac:dyDescent="0.3">
      <c r="B866" s="7"/>
      <c r="C866" s="8"/>
    </row>
    <row r="867" spans="2:3" ht="13.5" customHeight="1" x14ac:dyDescent="0.3">
      <c r="B867" s="7"/>
      <c r="C867" s="8"/>
    </row>
    <row r="868" spans="2:3" ht="13.5" customHeight="1" x14ac:dyDescent="0.3">
      <c r="B868" s="7"/>
      <c r="C868" s="8"/>
    </row>
    <row r="869" spans="2:3" ht="13.5" customHeight="1" x14ac:dyDescent="0.3">
      <c r="B869" s="7"/>
      <c r="C869" s="8"/>
    </row>
    <row r="870" spans="2:3" ht="13.5" customHeight="1" x14ac:dyDescent="0.3">
      <c r="B870" s="7"/>
      <c r="C870" s="8"/>
    </row>
    <row r="871" spans="2:3" ht="13.5" customHeight="1" x14ac:dyDescent="0.3">
      <c r="B871" s="7"/>
      <c r="C871" s="8"/>
    </row>
    <row r="872" spans="2:3" ht="13.5" customHeight="1" x14ac:dyDescent="0.3">
      <c r="B872" s="7"/>
      <c r="C872" s="8"/>
    </row>
    <row r="873" spans="2:3" ht="13.5" customHeight="1" x14ac:dyDescent="0.3">
      <c r="B873" s="7"/>
      <c r="C873" s="8"/>
    </row>
    <row r="874" spans="2:3" ht="13.5" customHeight="1" x14ac:dyDescent="0.3">
      <c r="B874" s="7"/>
      <c r="C874" s="8"/>
    </row>
    <row r="875" spans="2:3" ht="13.5" customHeight="1" x14ac:dyDescent="0.3">
      <c r="B875" s="7"/>
      <c r="C875" s="8"/>
    </row>
    <row r="876" spans="2:3" ht="13.5" customHeight="1" x14ac:dyDescent="0.3">
      <c r="B876" s="7"/>
      <c r="C876" s="8"/>
    </row>
    <row r="877" spans="2:3" ht="13.5" customHeight="1" x14ac:dyDescent="0.3">
      <c r="B877" s="7"/>
      <c r="C877" s="8"/>
    </row>
    <row r="878" spans="2:3" ht="13.5" customHeight="1" x14ac:dyDescent="0.3">
      <c r="B878" s="7"/>
      <c r="C878" s="8"/>
    </row>
    <row r="879" spans="2:3" ht="13.5" customHeight="1" x14ac:dyDescent="0.3">
      <c r="B879" s="7"/>
      <c r="C879" s="8"/>
    </row>
    <row r="880" spans="2:3" ht="13.5" customHeight="1" x14ac:dyDescent="0.3">
      <c r="B880" s="7"/>
      <c r="C880" s="8"/>
    </row>
    <row r="881" spans="2:3" ht="13.5" customHeight="1" x14ac:dyDescent="0.3">
      <c r="B881" s="7"/>
      <c r="C881" s="8"/>
    </row>
    <row r="882" spans="2:3" ht="13.5" customHeight="1" x14ac:dyDescent="0.3">
      <c r="B882" s="7"/>
      <c r="C882" s="8"/>
    </row>
    <row r="883" spans="2:3" ht="13.5" customHeight="1" x14ac:dyDescent="0.3">
      <c r="B883" s="7"/>
      <c r="C883" s="8"/>
    </row>
    <row r="884" spans="2:3" ht="13.5" customHeight="1" x14ac:dyDescent="0.3">
      <c r="B884" s="7"/>
      <c r="C884" s="8"/>
    </row>
    <row r="885" spans="2:3" ht="13.5" customHeight="1" x14ac:dyDescent="0.3">
      <c r="B885" s="7"/>
      <c r="C885" s="8"/>
    </row>
    <row r="886" spans="2:3" ht="13.5" customHeight="1" x14ac:dyDescent="0.3">
      <c r="B886" s="7"/>
      <c r="C886" s="8"/>
    </row>
    <row r="887" spans="2:3" ht="13.5" customHeight="1" x14ac:dyDescent="0.3">
      <c r="B887" s="7"/>
      <c r="C887" s="8"/>
    </row>
    <row r="888" spans="2:3" ht="13.5" customHeight="1" x14ac:dyDescent="0.3">
      <c r="B888" s="7"/>
      <c r="C888" s="8"/>
    </row>
    <row r="889" spans="2:3" ht="13.5" customHeight="1" x14ac:dyDescent="0.3">
      <c r="B889" s="7"/>
      <c r="C889" s="8"/>
    </row>
    <row r="890" spans="2:3" ht="13.5" customHeight="1" x14ac:dyDescent="0.3">
      <c r="B890" s="7"/>
      <c r="C890" s="8"/>
    </row>
    <row r="891" spans="2:3" ht="13.5" customHeight="1" x14ac:dyDescent="0.3">
      <c r="B891" s="7"/>
      <c r="C891" s="8"/>
    </row>
    <row r="892" spans="2:3" ht="13.5" customHeight="1" x14ac:dyDescent="0.3">
      <c r="B892" s="7"/>
      <c r="C892" s="8"/>
    </row>
    <row r="893" spans="2:3" ht="13.5" customHeight="1" x14ac:dyDescent="0.3">
      <c r="B893" s="7"/>
      <c r="C893" s="8"/>
    </row>
    <row r="894" spans="2:3" ht="13.5" customHeight="1" x14ac:dyDescent="0.3">
      <c r="B894" s="7"/>
      <c r="C894" s="8"/>
    </row>
    <row r="895" spans="2:3" ht="13.5" customHeight="1" x14ac:dyDescent="0.3">
      <c r="B895" s="7"/>
      <c r="C895" s="8"/>
    </row>
    <row r="896" spans="2:3" ht="13.5" customHeight="1" x14ac:dyDescent="0.3">
      <c r="B896" s="7"/>
      <c r="C896" s="8"/>
    </row>
    <row r="897" spans="2:3" ht="13.5" customHeight="1" x14ac:dyDescent="0.3">
      <c r="B897" s="7"/>
      <c r="C897" s="8"/>
    </row>
    <row r="898" spans="2:3" ht="13.5" customHeight="1" x14ac:dyDescent="0.3">
      <c r="B898" s="7"/>
      <c r="C898" s="8"/>
    </row>
    <row r="899" spans="2:3" ht="13.5" customHeight="1" x14ac:dyDescent="0.3">
      <c r="B899" s="7"/>
      <c r="C899" s="8"/>
    </row>
    <row r="900" spans="2:3" ht="13.5" customHeight="1" x14ac:dyDescent="0.3">
      <c r="B900" s="7"/>
      <c r="C900" s="8"/>
    </row>
    <row r="901" spans="2:3" ht="13.5" customHeight="1" x14ac:dyDescent="0.3">
      <c r="B901" s="7"/>
      <c r="C901" s="8"/>
    </row>
    <row r="902" spans="2:3" ht="13.5" customHeight="1" x14ac:dyDescent="0.3">
      <c r="B902" s="7"/>
      <c r="C902" s="8"/>
    </row>
    <row r="903" spans="2:3" ht="13.5" customHeight="1" x14ac:dyDescent="0.3">
      <c r="B903" s="7"/>
      <c r="C903" s="8"/>
    </row>
    <row r="904" spans="2:3" ht="13.5" customHeight="1" x14ac:dyDescent="0.3">
      <c r="B904" s="7"/>
      <c r="C904" s="8"/>
    </row>
    <row r="905" spans="2:3" ht="13.5" customHeight="1" x14ac:dyDescent="0.3">
      <c r="B905" s="7"/>
      <c r="C905" s="8"/>
    </row>
    <row r="906" spans="2:3" ht="13.5" customHeight="1" x14ac:dyDescent="0.3">
      <c r="B906" s="7"/>
      <c r="C906" s="8"/>
    </row>
    <row r="907" spans="2:3" ht="13.5" customHeight="1" x14ac:dyDescent="0.3">
      <c r="B907" s="7"/>
      <c r="C907" s="8"/>
    </row>
    <row r="908" spans="2:3" ht="13.5" customHeight="1" x14ac:dyDescent="0.3">
      <c r="B908" s="7"/>
      <c r="C908" s="8"/>
    </row>
    <row r="909" spans="2:3" ht="13.5" customHeight="1" x14ac:dyDescent="0.3">
      <c r="B909" s="7"/>
      <c r="C909" s="8"/>
    </row>
    <row r="910" spans="2:3" ht="13.5" customHeight="1" x14ac:dyDescent="0.3">
      <c r="B910" s="7"/>
      <c r="C910" s="8"/>
    </row>
    <row r="911" spans="2:3" ht="13.5" customHeight="1" x14ac:dyDescent="0.3">
      <c r="B911" s="7"/>
      <c r="C911" s="8"/>
    </row>
    <row r="912" spans="2:3" ht="13.5" customHeight="1" x14ac:dyDescent="0.3">
      <c r="B912" s="7"/>
      <c r="C912" s="8"/>
    </row>
    <row r="913" spans="2:3" ht="13.5" customHeight="1" x14ac:dyDescent="0.3">
      <c r="B913" s="7"/>
      <c r="C913" s="8"/>
    </row>
    <row r="914" spans="2:3" ht="13.5" customHeight="1" x14ac:dyDescent="0.3">
      <c r="B914" s="7"/>
      <c r="C914" s="8"/>
    </row>
    <row r="915" spans="2:3" ht="13.5" customHeight="1" x14ac:dyDescent="0.3">
      <c r="B915" s="7"/>
      <c r="C915" s="8"/>
    </row>
    <row r="916" spans="2:3" ht="13.5" customHeight="1" x14ac:dyDescent="0.3">
      <c r="B916" s="7"/>
      <c r="C916" s="8"/>
    </row>
    <row r="917" spans="2:3" ht="13.5" customHeight="1" x14ac:dyDescent="0.3">
      <c r="B917" s="7"/>
      <c r="C917" s="8"/>
    </row>
    <row r="918" spans="2:3" ht="13.5" customHeight="1" x14ac:dyDescent="0.3">
      <c r="B918" s="7"/>
      <c r="C918" s="8"/>
    </row>
    <row r="919" spans="2:3" ht="13.5" customHeight="1" x14ac:dyDescent="0.3">
      <c r="B919" s="7"/>
      <c r="C919" s="8"/>
    </row>
    <row r="920" spans="2:3" ht="13.5" customHeight="1" x14ac:dyDescent="0.3">
      <c r="B920" s="7"/>
      <c r="C920" s="8"/>
    </row>
    <row r="921" spans="2:3" ht="13.5" customHeight="1" x14ac:dyDescent="0.3">
      <c r="B921" s="7"/>
      <c r="C921" s="8"/>
    </row>
    <row r="922" spans="2:3" ht="13.5" customHeight="1" x14ac:dyDescent="0.3">
      <c r="B922" s="7"/>
      <c r="C922" s="8"/>
    </row>
    <row r="923" spans="2:3" ht="13.5" customHeight="1" x14ac:dyDescent="0.3">
      <c r="B923" s="7"/>
      <c r="C923" s="8"/>
    </row>
    <row r="924" spans="2:3" ht="13.5" customHeight="1" x14ac:dyDescent="0.3">
      <c r="B924" s="7"/>
      <c r="C924" s="8"/>
    </row>
    <row r="925" spans="2:3" ht="13.5" customHeight="1" x14ac:dyDescent="0.3">
      <c r="B925" s="7"/>
      <c r="C925" s="8"/>
    </row>
    <row r="926" spans="2:3" ht="13.5" customHeight="1" x14ac:dyDescent="0.3">
      <c r="B926" s="7"/>
      <c r="C926" s="8"/>
    </row>
    <row r="927" spans="2:3" ht="13.5" customHeight="1" x14ac:dyDescent="0.3">
      <c r="B927" s="7"/>
      <c r="C927" s="8"/>
    </row>
    <row r="928" spans="2:3" ht="13.5" customHeight="1" x14ac:dyDescent="0.3">
      <c r="B928" s="7"/>
      <c r="C928" s="8"/>
    </row>
    <row r="929" spans="2:3" ht="13.5" customHeight="1" x14ac:dyDescent="0.3">
      <c r="B929" s="7"/>
      <c r="C929" s="8"/>
    </row>
    <row r="930" spans="2:3" ht="13.5" customHeight="1" x14ac:dyDescent="0.3">
      <c r="B930" s="7"/>
      <c r="C930" s="8"/>
    </row>
    <row r="931" spans="2:3" ht="13.5" customHeight="1" x14ac:dyDescent="0.3">
      <c r="B931" s="7"/>
      <c r="C931" s="8"/>
    </row>
    <row r="932" spans="2:3" ht="13.5" customHeight="1" x14ac:dyDescent="0.3">
      <c r="B932" s="7"/>
      <c r="C932" s="8"/>
    </row>
    <row r="933" spans="2:3" ht="13.5" customHeight="1" x14ac:dyDescent="0.3">
      <c r="B933" s="7"/>
      <c r="C933" s="8"/>
    </row>
    <row r="934" spans="2:3" ht="13.5" customHeight="1" x14ac:dyDescent="0.3">
      <c r="B934" s="7"/>
      <c r="C934" s="8"/>
    </row>
    <row r="935" spans="2:3" ht="13.5" customHeight="1" x14ac:dyDescent="0.3">
      <c r="B935" s="7"/>
      <c r="C935" s="8"/>
    </row>
    <row r="936" spans="2:3" ht="13.5" customHeight="1" x14ac:dyDescent="0.3">
      <c r="B936" s="7"/>
      <c r="C936" s="8"/>
    </row>
    <row r="937" spans="2:3" ht="13.5" customHeight="1" x14ac:dyDescent="0.3">
      <c r="B937" s="7"/>
      <c r="C937" s="8"/>
    </row>
    <row r="938" spans="2:3" ht="13.5" customHeight="1" x14ac:dyDescent="0.3">
      <c r="B938" s="7"/>
      <c r="C938" s="8"/>
    </row>
    <row r="939" spans="2:3" ht="13.5" customHeight="1" x14ac:dyDescent="0.3">
      <c r="B939" s="7"/>
      <c r="C939" s="8"/>
    </row>
    <row r="940" spans="2:3" ht="13.5" customHeight="1" x14ac:dyDescent="0.3">
      <c r="B940" s="7"/>
      <c r="C940" s="8"/>
    </row>
    <row r="941" spans="2:3" ht="13.5" customHeight="1" x14ac:dyDescent="0.3">
      <c r="B941" s="7"/>
      <c r="C941" s="8"/>
    </row>
    <row r="942" spans="2:3" ht="13.5" customHeight="1" x14ac:dyDescent="0.3">
      <c r="B942" s="7"/>
      <c r="C942" s="8"/>
    </row>
    <row r="943" spans="2:3" ht="13.5" customHeight="1" x14ac:dyDescent="0.3">
      <c r="B943" s="7"/>
      <c r="C943" s="8"/>
    </row>
    <row r="944" spans="2:3" ht="13.5" customHeight="1" x14ac:dyDescent="0.3">
      <c r="B944" s="7"/>
      <c r="C944" s="8"/>
    </row>
    <row r="945" spans="2:3" ht="13.5" customHeight="1" x14ac:dyDescent="0.3">
      <c r="B945" s="7"/>
      <c r="C945" s="8"/>
    </row>
    <row r="946" spans="2:3" ht="13.5" customHeight="1" x14ac:dyDescent="0.3">
      <c r="B946" s="7"/>
      <c r="C946" s="8"/>
    </row>
    <row r="947" spans="2:3" ht="13.5" customHeight="1" x14ac:dyDescent="0.3">
      <c r="B947" s="7"/>
      <c r="C947" s="8"/>
    </row>
    <row r="948" spans="2:3" ht="13.5" customHeight="1" x14ac:dyDescent="0.3">
      <c r="B948" s="7"/>
      <c r="C948" s="8"/>
    </row>
    <row r="949" spans="2:3" ht="13.5" customHeight="1" x14ac:dyDescent="0.3">
      <c r="B949" s="7"/>
      <c r="C949" s="8"/>
    </row>
    <row r="950" spans="2:3" ht="13.5" customHeight="1" x14ac:dyDescent="0.3">
      <c r="B950" s="7"/>
      <c r="C950" s="8"/>
    </row>
    <row r="951" spans="2:3" ht="13.5" customHeight="1" x14ac:dyDescent="0.3">
      <c r="B951" s="7"/>
      <c r="C951" s="8"/>
    </row>
    <row r="952" spans="2:3" ht="13.5" customHeight="1" x14ac:dyDescent="0.3">
      <c r="B952" s="7"/>
      <c r="C952" s="8"/>
    </row>
    <row r="953" spans="2:3" ht="13.5" customHeight="1" x14ac:dyDescent="0.3">
      <c r="B953" s="7"/>
      <c r="C953" s="8"/>
    </row>
    <row r="954" spans="2:3" ht="13.5" customHeight="1" x14ac:dyDescent="0.3">
      <c r="B954" s="7"/>
      <c r="C954" s="8"/>
    </row>
    <row r="955" spans="2:3" ht="13.5" customHeight="1" x14ac:dyDescent="0.3">
      <c r="B955" s="7"/>
      <c r="C955" s="8"/>
    </row>
    <row r="956" spans="2:3" ht="13.5" customHeight="1" x14ac:dyDescent="0.3">
      <c r="B956" s="7"/>
      <c r="C956" s="8"/>
    </row>
    <row r="957" spans="2:3" ht="13.5" customHeight="1" x14ac:dyDescent="0.3">
      <c r="B957" s="7"/>
      <c r="C957" s="8"/>
    </row>
    <row r="958" spans="2:3" ht="13.5" customHeight="1" x14ac:dyDescent="0.3">
      <c r="B958" s="7"/>
      <c r="C958" s="8"/>
    </row>
    <row r="959" spans="2:3" ht="13.5" customHeight="1" x14ac:dyDescent="0.3">
      <c r="B959" s="7"/>
      <c r="C959" s="8"/>
    </row>
    <row r="960" spans="2:3" ht="13.5" customHeight="1" x14ac:dyDescent="0.3">
      <c r="B960" s="7"/>
      <c r="C960" s="8"/>
    </row>
    <row r="961" spans="2:3" ht="13.5" customHeight="1" x14ac:dyDescent="0.3">
      <c r="B961" s="7"/>
      <c r="C961" s="8"/>
    </row>
    <row r="962" spans="2:3" ht="13.5" customHeight="1" x14ac:dyDescent="0.3">
      <c r="B962" s="7"/>
      <c r="C962" s="8"/>
    </row>
    <row r="963" spans="2:3" ht="13.5" customHeight="1" x14ac:dyDescent="0.3">
      <c r="B963" s="7"/>
      <c r="C963" s="8"/>
    </row>
    <row r="964" spans="2:3" ht="13.5" customHeight="1" x14ac:dyDescent="0.3">
      <c r="B964" s="7"/>
      <c r="C964" s="8"/>
    </row>
    <row r="965" spans="2:3" ht="13.5" customHeight="1" x14ac:dyDescent="0.3">
      <c r="B965" s="7"/>
      <c r="C965" s="8"/>
    </row>
    <row r="966" spans="2:3" ht="13.5" customHeight="1" x14ac:dyDescent="0.3">
      <c r="B966" s="7"/>
      <c r="C966" s="8"/>
    </row>
    <row r="967" spans="2:3" ht="13.5" customHeight="1" x14ac:dyDescent="0.3">
      <c r="B967" s="7"/>
      <c r="C967" s="8"/>
    </row>
    <row r="968" spans="2:3" ht="13.5" customHeight="1" x14ac:dyDescent="0.3">
      <c r="B968" s="7"/>
      <c r="C968" s="8"/>
    </row>
    <row r="969" spans="2:3" ht="13.5" customHeight="1" x14ac:dyDescent="0.3">
      <c r="B969" s="7"/>
      <c r="C969" s="8"/>
    </row>
    <row r="970" spans="2:3" ht="13.5" customHeight="1" x14ac:dyDescent="0.3">
      <c r="B970" s="7"/>
      <c r="C970" s="8"/>
    </row>
    <row r="971" spans="2:3" ht="13.5" customHeight="1" x14ac:dyDescent="0.3">
      <c r="B971" s="7"/>
      <c r="C971" s="8"/>
    </row>
    <row r="972" spans="2:3" ht="13.5" customHeight="1" x14ac:dyDescent="0.3">
      <c r="B972" s="7"/>
      <c r="C972" s="8"/>
    </row>
    <row r="973" spans="2:3" ht="13.5" customHeight="1" x14ac:dyDescent="0.3">
      <c r="B973" s="7"/>
      <c r="C973" s="8"/>
    </row>
    <row r="974" spans="2:3" ht="13.5" customHeight="1" x14ac:dyDescent="0.3">
      <c r="B974" s="7"/>
      <c r="C974" s="8"/>
    </row>
    <row r="975" spans="2:3" ht="13.5" customHeight="1" x14ac:dyDescent="0.3">
      <c r="B975" s="7"/>
      <c r="C975" s="8"/>
    </row>
    <row r="976" spans="2:3" ht="13.5" customHeight="1" x14ac:dyDescent="0.3">
      <c r="B976" s="7"/>
      <c r="C976" s="8"/>
    </row>
    <row r="977" spans="2:3" ht="13.5" customHeight="1" x14ac:dyDescent="0.3">
      <c r="B977" s="7"/>
      <c r="C977" s="8"/>
    </row>
    <row r="978" spans="2:3" ht="13.5" customHeight="1" x14ac:dyDescent="0.3">
      <c r="B978" s="7"/>
      <c r="C978" s="8"/>
    </row>
    <row r="979" spans="2:3" ht="13.5" customHeight="1" x14ac:dyDescent="0.3">
      <c r="B979" s="7"/>
      <c r="C979" s="8"/>
    </row>
    <row r="980" spans="2:3" ht="13.5" customHeight="1" x14ac:dyDescent="0.3">
      <c r="B980" s="7"/>
      <c r="C980" s="8"/>
    </row>
    <row r="981" spans="2:3" ht="13.5" customHeight="1" x14ac:dyDescent="0.3">
      <c r="B981" s="7"/>
      <c r="C981" s="8"/>
    </row>
    <row r="982" spans="2:3" ht="13.5" customHeight="1" x14ac:dyDescent="0.3">
      <c r="B982" s="7"/>
      <c r="C982" s="8"/>
    </row>
    <row r="983" spans="2:3" ht="13.5" customHeight="1" x14ac:dyDescent="0.3">
      <c r="B983" s="7"/>
      <c r="C983" s="8"/>
    </row>
    <row r="984" spans="2:3" ht="13.5" customHeight="1" x14ac:dyDescent="0.3">
      <c r="B984" s="7"/>
      <c r="C984" s="8"/>
    </row>
    <row r="985" spans="2:3" ht="13.5" customHeight="1" x14ac:dyDescent="0.3">
      <c r="B985" s="7"/>
      <c r="C985" s="8"/>
    </row>
    <row r="986" spans="2:3" ht="13.5" customHeight="1" x14ac:dyDescent="0.3">
      <c r="B986" s="7"/>
      <c r="C986" s="8"/>
    </row>
    <row r="987" spans="2:3" ht="13.5" customHeight="1" x14ac:dyDescent="0.3">
      <c r="B987" s="7"/>
      <c r="C987" s="8"/>
    </row>
    <row r="988" spans="2:3" ht="13.5" customHeight="1" x14ac:dyDescent="0.3">
      <c r="B988" s="7"/>
      <c r="C988" s="8"/>
    </row>
    <row r="989" spans="2:3" ht="13.5" customHeight="1" x14ac:dyDescent="0.3">
      <c r="B989" s="7"/>
      <c r="C989" s="8"/>
    </row>
    <row r="990" spans="2:3" ht="13.5" customHeight="1" x14ac:dyDescent="0.3">
      <c r="B990" s="7"/>
      <c r="C990" s="8"/>
    </row>
    <row r="991" spans="2:3" ht="13.5" customHeight="1" x14ac:dyDescent="0.3">
      <c r="B991" s="7"/>
      <c r="C991" s="8"/>
    </row>
    <row r="992" spans="2:3" ht="13.5" customHeight="1" x14ac:dyDescent="0.3">
      <c r="B992" s="7"/>
      <c r="C992" s="8"/>
    </row>
    <row r="993" spans="2:3" ht="13.5" customHeight="1" x14ac:dyDescent="0.3">
      <c r="B993" s="7"/>
      <c r="C993" s="8"/>
    </row>
    <row r="994" spans="2:3" ht="13.5" customHeight="1" x14ac:dyDescent="0.3">
      <c r="B994" s="7"/>
      <c r="C994" s="8"/>
    </row>
    <row r="995" spans="2:3" ht="13.5" customHeight="1" x14ac:dyDescent="0.3">
      <c r="B995" s="7"/>
      <c r="C995" s="8"/>
    </row>
    <row r="996" spans="2:3" ht="13.5" customHeight="1" x14ac:dyDescent="0.3">
      <c r="B996" s="7"/>
      <c r="C996" s="8"/>
    </row>
    <row r="997" spans="2:3" ht="13.5" customHeight="1" x14ac:dyDescent="0.3">
      <c r="B997" s="7"/>
      <c r="C997" s="8"/>
    </row>
    <row r="998" spans="2:3" ht="13.5" customHeight="1" x14ac:dyDescent="0.3">
      <c r="B998" s="7"/>
      <c r="C998" s="8"/>
    </row>
    <row r="999" spans="2:3" ht="13.5" customHeight="1" x14ac:dyDescent="0.3">
      <c r="B999" s="7"/>
      <c r="C999" s="8"/>
    </row>
    <row r="1000" spans="2:3" ht="13.5" customHeight="1" x14ac:dyDescent="0.3">
      <c r="B1000" s="7"/>
      <c r="C1000" s="8"/>
    </row>
  </sheetData>
  <mergeCells count="16">
    <mergeCell ref="B5:C5"/>
    <mergeCell ref="K3:K6"/>
    <mergeCell ref="E4:E6"/>
    <mergeCell ref="I4:I6"/>
    <mergeCell ref="J49:K49"/>
    <mergeCell ref="AA44:AB44"/>
    <mergeCell ref="H2:H6"/>
    <mergeCell ref="J45:K45"/>
    <mergeCell ref="F5:F6"/>
    <mergeCell ref="J47:K47"/>
    <mergeCell ref="L3:U6"/>
    <mergeCell ref="J48:K48"/>
    <mergeCell ref="G4:G6"/>
    <mergeCell ref="J4:J6"/>
    <mergeCell ref="J44:K44"/>
    <mergeCell ref="J46:K46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000"/>
  <sheetViews>
    <sheetView workbookViewId="0"/>
  </sheetViews>
  <sheetFormatPr defaultColWidth="14.44140625" defaultRowHeight="13.8" x14ac:dyDescent="0.3"/>
  <cols>
    <col min="1" max="1" width="5.6640625" customWidth="1"/>
    <col min="2" max="26" width="8.6640625" customWidth="1"/>
  </cols>
  <sheetData>
    <row r="1" spans="2:11" ht="13.5" customHeight="1" x14ac:dyDescent="0.3"/>
    <row r="2" spans="2:11" ht="13.5" customHeight="1" x14ac:dyDescent="0.3"/>
    <row r="3" spans="2:11" ht="13.5" customHeight="1" x14ac:dyDescent="0.3"/>
    <row r="4" spans="2:11" ht="13.5" customHeight="1" x14ac:dyDescent="0.3"/>
    <row r="5" spans="2:11" ht="13.5" customHeight="1" x14ac:dyDescent="0.4">
      <c r="B5" s="2" t="s">
        <v>376</v>
      </c>
    </row>
    <row r="6" spans="2:11" ht="13.5" customHeight="1" x14ac:dyDescent="0.3"/>
    <row r="7" spans="2:11" ht="13.5" customHeight="1" x14ac:dyDescent="0.3">
      <c r="B7" t="s">
        <v>377</v>
      </c>
    </row>
    <row r="8" spans="2:11" ht="13.5" customHeight="1" x14ac:dyDescent="0.3">
      <c r="B8" s="19" t="s">
        <v>290</v>
      </c>
      <c r="K8" s="19" t="s">
        <v>291</v>
      </c>
    </row>
    <row r="9" spans="2:11" ht="13.5" customHeight="1" x14ac:dyDescent="0.3"/>
    <row r="10" spans="2:11" ht="13.5" customHeight="1" x14ac:dyDescent="0.3"/>
    <row r="11" spans="2:11" ht="13.5" customHeight="1" x14ac:dyDescent="0.3"/>
    <row r="12" spans="2:11" ht="13.5" customHeight="1" x14ac:dyDescent="0.3"/>
    <row r="13" spans="2:11" ht="13.5" customHeight="1" x14ac:dyDescent="0.3"/>
    <row r="14" spans="2:11" ht="13.5" customHeight="1" x14ac:dyDescent="0.3"/>
    <row r="15" spans="2:11" ht="13.5" customHeight="1" x14ac:dyDescent="0.3"/>
    <row r="16" spans="2:11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D965"/>
  </sheetPr>
  <dimension ref="B1:L1000"/>
  <sheetViews>
    <sheetView showGridLines="0" workbookViewId="0"/>
  </sheetViews>
  <sheetFormatPr defaultColWidth="14.44140625" defaultRowHeight="13.8" x14ac:dyDescent="0.3"/>
  <cols>
    <col min="1" max="1" width="5.44140625" customWidth="1"/>
    <col min="2" max="2" width="9.109375" customWidth="1"/>
    <col min="3" max="3" width="37.5546875" customWidth="1"/>
    <col min="4" max="4" width="15" customWidth="1"/>
    <col min="5" max="5" width="13.33203125" customWidth="1"/>
    <col min="6" max="6" width="14" hidden="1" customWidth="1"/>
    <col min="7" max="7" width="19.88671875" hidden="1" customWidth="1"/>
    <col min="8" max="9" width="17.6640625" customWidth="1"/>
    <col min="10" max="10" width="49.33203125" customWidth="1"/>
    <col min="11" max="11" width="12.109375" customWidth="1"/>
    <col min="12" max="12" width="46.6640625" hidden="1" customWidth="1"/>
    <col min="13" max="26" width="8.6640625" customWidth="1"/>
  </cols>
  <sheetData>
    <row r="1" spans="2:12" ht="13.5" customHeight="1" x14ac:dyDescent="0.3"/>
    <row r="2" spans="2:12" ht="13.5" customHeight="1" x14ac:dyDescent="0.3"/>
    <row r="3" spans="2:12" ht="13.5" customHeight="1" x14ac:dyDescent="0.3"/>
    <row r="4" spans="2:12" ht="13.5" customHeight="1" x14ac:dyDescent="0.3"/>
    <row r="5" spans="2:12" ht="13.5" customHeight="1" x14ac:dyDescent="0.35">
      <c r="B5" s="20" t="s">
        <v>378</v>
      </c>
      <c r="D5" s="21"/>
      <c r="E5" s="21"/>
      <c r="F5" s="21"/>
      <c r="G5" s="21"/>
      <c r="H5" s="91" t="s">
        <v>379</v>
      </c>
      <c r="I5" s="92" t="s">
        <v>380</v>
      </c>
      <c r="J5" s="21"/>
    </row>
    <row r="6" spans="2:12" ht="13.5" customHeight="1" x14ac:dyDescent="0.35">
      <c r="B6" s="20"/>
      <c r="D6" s="21"/>
      <c r="E6" s="22" t="s">
        <v>381</v>
      </c>
      <c r="F6" s="21"/>
      <c r="G6" s="21"/>
      <c r="H6" s="80"/>
      <c r="I6" s="80"/>
      <c r="J6" s="21"/>
      <c r="K6" s="8" t="s">
        <v>381</v>
      </c>
    </row>
    <row r="7" spans="2:12" ht="13.5" customHeight="1" x14ac:dyDescent="0.3">
      <c r="B7" s="10" t="s">
        <v>43</v>
      </c>
      <c r="C7" s="10" t="s">
        <v>44</v>
      </c>
      <c r="D7" s="10" t="s">
        <v>382</v>
      </c>
      <c r="E7" s="10" t="s">
        <v>383</v>
      </c>
      <c r="F7" s="10" t="s">
        <v>384</v>
      </c>
      <c r="G7" s="10" t="s">
        <v>385</v>
      </c>
      <c r="H7" s="10" t="s">
        <v>65</v>
      </c>
      <c r="I7" s="10" t="s">
        <v>20</v>
      </c>
      <c r="J7" s="10" t="s">
        <v>386</v>
      </c>
      <c r="K7" s="10" t="s">
        <v>387</v>
      </c>
      <c r="L7" s="4"/>
    </row>
    <row r="8" spans="2:12" ht="13.5" customHeight="1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2" ht="13.5" customHeight="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ht="13.5" customHeight="1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2:12" ht="13.5" customHeight="1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13.5" customHeight="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12" ht="13.5" customHeight="1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2:12" ht="13.5" customHeight="1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2:12" ht="13.5" customHeight="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2:12" ht="13.5" customHeight="1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2" ht="13.5" customHeight="1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2:12" ht="13.5" customHeight="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2:12" ht="13.5" customHeight="1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2:12" ht="13.5" customHeight="1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ht="13.5" customHeight="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 ht="13.5" customHeight="1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ht="13.5" customHeight="1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ht="13.5" customHeight="1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2:12" ht="13.5" customHeight="1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2:12" ht="13.5" customHeight="1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2:12" ht="13.5" customHeight="1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12" ht="13.5" customHeight="1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2:12" ht="13.5" customHeigh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2:12" ht="13.5" customHeight="1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2:12" ht="13.5" customHeight="1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2:12" ht="13.5" customHeight="1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 ht="13.5" customHeight="1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2" ht="13.5" customHeight="1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12" ht="13.5" customHeight="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2:12" ht="13.5" customHeigh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2:12" ht="13.5" customHeight="1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2:12" ht="13.5" customHeight="1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2:12" ht="13.5" customHeight="1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2:12" ht="13.5" customHeight="1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2:12" ht="13.5" customHeight="1" x14ac:dyDescent="0.3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2:12" ht="13.5" customHeight="1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2:12" ht="13.5" customHeight="1" x14ac:dyDescent="0.3">
      <c r="B43" s="4"/>
      <c r="C43" s="4"/>
    </row>
    <row r="44" spans="2:12" ht="13.5" customHeight="1" x14ac:dyDescent="0.3">
      <c r="B44" s="4"/>
      <c r="C44" s="4"/>
    </row>
    <row r="45" spans="2:12" ht="13.5" customHeight="1" x14ac:dyDescent="0.3"/>
    <row r="46" spans="2:12" ht="13.5" customHeight="1" x14ac:dyDescent="0.3"/>
    <row r="47" spans="2:12" ht="13.5" customHeight="1" x14ac:dyDescent="0.3"/>
    <row r="48" spans="2:1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2">
    <mergeCell ref="H5:H6"/>
    <mergeCell ref="I5:I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8C8C8"/>
  </sheetPr>
  <dimension ref="B1:I1000"/>
  <sheetViews>
    <sheetView showGridLines="0" workbookViewId="0"/>
  </sheetViews>
  <sheetFormatPr defaultColWidth="14.44140625" defaultRowHeight="13.8" x14ac:dyDescent="0.3"/>
  <cols>
    <col min="1" max="3" width="8.6640625" customWidth="1"/>
    <col min="4" max="4" width="13.44140625" hidden="1" customWidth="1"/>
    <col min="5" max="5" width="14" customWidth="1"/>
    <col min="6" max="9" width="54.44140625" customWidth="1"/>
    <col min="10" max="26" width="8.6640625" customWidth="1"/>
  </cols>
  <sheetData>
    <row r="1" spans="2:9" ht="13.5" customHeight="1" x14ac:dyDescent="0.3"/>
    <row r="2" spans="2:9" ht="13.5" customHeight="1" x14ac:dyDescent="0.3"/>
    <row r="3" spans="2:9" ht="13.5" customHeight="1" x14ac:dyDescent="0.3">
      <c r="F3" s="95" t="s">
        <v>388</v>
      </c>
    </row>
    <row r="4" spans="2:9" ht="12.75" customHeight="1" x14ac:dyDescent="0.3">
      <c r="F4" s="79"/>
    </row>
    <row r="5" spans="2:9" ht="13.5" customHeight="1" x14ac:dyDescent="0.45">
      <c r="B5" s="23" t="s">
        <v>389</v>
      </c>
      <c r="C5" s="23"/>
      <c r="F5" s="79"/>
    </row>
    <row r="6" spans="2:9" ht="13.5" customHeight="1" x14ac:dyDescent="0.3">
      <c r="B6" s="93" t="s">
        <v>390</v>
      </c>
      <c r="C6" s="93" t="s">
        <v>391</v>
      </c>
      <c r="E6" s="94" t="s">
        <v>392</v>
      </c>
      <c r="F6" s="79"/>
    </row>
    <row r="7" spans="2:9" ht="13.5" customHeight="1" x14ac:dyDescent="0.3">
      <c r="B7" s="79"/>
      <c r="C7" s="79"/>
      <c r="E7" s="79"/>
      <c r="F7" s="79"/>
    </row>
    <row r="8" spans="2:9" ht="13.5" customHeight="1" x14ac:dyDescent="0.3">
      <c r="B8" s="80"/>
      <c r="C8" s="80"/>
      <c r="E8" s="80"/>
      <c r="F8" s="80"/>
    </row>
    <row r="9" spans="2:9" ht="13.5" customHeight="1" x14ac:dyDescent="0.3">
      <c r="B9" s="10" t="s">
        <v>384</v>
      </c>
      <c r="C9" s="10" t="s">
        <v>384</v>
      </c>
      <c r="D9" s="10" t="s">
        <v>381</v>
      </c>
      <c r="E9" s="10" t="s">
        <v>65</v>
      </c>
      <c r="F9" s="10" t="s">
        <v>393</v>
      </c>
      <c r="G9" s="10" t="s">
        <v>394</v>
      </c>
      <c r="H9" s="10" t="s">
        <v>395</v>
      </c>
      <c r="I9" s="10" t="s">
        <v>23</v>
      </c>
    </row>
    <row r="10" spans="2:9" ht="13.5" customHeight="1" x14ac:dyDescent="0.3">
      <c r="B10" s="4"/>
      <c r="C10" s="4"/>
      <c r="D10" s="4"/>
      <c r="E10" s="4"/>
      <c r="F10" s="4"/>
      <c r="G10" s="4"/>
      <c r="H10" s="4"/>
      <c r="I10" s="4"/>
    </row>
    <row r="11" spans="2:9" ht="13.5" customHeight="1" x14ac:dyDescent="0.3">
      <c r="B11" s="4"/>
      <c r="C11" s="4"/>
      <c r="D11" s="4"/>
      <c r="E11" s="4"/>
      <c r="F11" s="4"/>
      <c r="G11" s="4"/>
      <c r="H11" s="4"/>
      <c r="I11" s="4"/>
    </row>
    <row r="12" spans="2:9" ht="13.5" customHeight="1" x14ac:dyDescent="0.3">
      <c r="B12" s="4"/>
      <c r="C12" s="4"/>
      <c r="D12" s="4"/>
      <c r="E12" s="4"/>
      <c r="F12" s="4"/>
      <c r="G12" s="4"/>
      <c r="H12" s="4"/>
      <c r="I12" s="4"/>
    </row>
    <row r="13" spans="2:9" ht="13.5" customHeight="1" x14ac:dyDescent="0.3">
      <c r="B13" s="4"/>
      <c r="C13" s="4"/>
      <c r="D13" s="4"/>
      <c r="E13" s="4"/>
      <c r="F13" s="4"/>
      <c r="G13" s="4"/>
      <c r="H13" s="4"/>
      <c r="I13" s="4"/>
    </row>
    <row r="14" spans="2:9" ht="13.5" customHeight="1" x14ac:dyDescent="0.3">
      <c r="B14" s="4"/>
      <c r="C14" s="4"/>
      <c r="D14" s="4"/>
      <c r="E14" s="4"/>
      <c r="F14" s="4"/>
      <c r="G14" s="4"/>
      <c r="H14" s="4"/>
      <c r="I14" s="4"/>
    </row>
    <row r="15" spans="2:9" ht="13.5" customHeight="1" x14ac:dyDescent="0.3">
      <c r="B15" s="4"/>
      <c r="C15" s="4"/>
      <c r="D15" s="4"/>
      <c r="E15" s="4"/>
      <c r="F15" s="4"/>
      <c r="G15" s="4"/>
      <c r="H15" s="4"/>
      <c r="I15" s="4"/>
    </row>
    <row r="16" spans="2:9" ht="13.5" customHeight="1" x14ac:dyDescent="0.3">
      <c r="B16" s="4"/>
      <c r="C16" s="4"/>
      <c r="D16" s="4"/>
      <c r="E16" s="4"/>
      <c r="F16" s="4"/>
      <c r="G16" s="4"/>
      <c r="H16" s="4"/>
      <c r="I16" s="4"/>
    </row>
    <row r="17" spans="2:9" ht="13.5" customHeight="1" x14ac:dyDescent="0.3">
      <c r="B17" s="4"/>
      <c r="C17" s="4"/>
      <c r="D17" s="4"/>
      <c r="E17" s="4"/>
      <c r="F17" s="4"/>
      <c r="G17" s="4"/>
      <c r="H17" s="4"/>
      <c r="I17" s="4"/>
    </row>
    <row r="18" spans="2:9" ht="13.5" customHeight="1" x14ac:dyDescent="0.3">
      <c r="B18" s="4"/>
      <c r="C18" s="4"/>
      <c r="D18" s="4"/>
      <c r="E18" s="4"/>
      <c r="F18" s="4"/>
      <c r="G18" s="4"/>
      <c r="H18" s="4"/>
      <c r="I18" s="4"/>
    </row>
    <row r="19" spans="2:9" ht="13.5" customHeight="1" x14ac:dyDescent="0.3">
      <c r="B19" s="4"/>
      <c r="C19" s="4"/>
      <c r="D19" s="4"/>
      <c r="E19" s="4"/>
      <c r="F19" s="4"/>
      <c r="G19" s="4"/>
      <c r="H19" s="4"/>
      <c r="I19" s="4"/>
    </row>
    <row r="20" spans="2:9" ht="13.5" customHeight="1" x14ac:dyDescent="0.3">
      <c r="B20" s="4"/>
      <c r="C20" s="4"/>
      <c r="D20" s="4"/>
      <c r="E20" s="4"/>
      <c r="F20" s="4"/>
      <c r="G20" s="4"/>
      <c r="H20" s="4"/>
      <c r="I20" s="4"/>
    </row>
    <row r="21" spans="2:9" ht="13.5" customHeight="1" x14ac:dyDescent="0.3">
      <c r="B21" s="4"/>
      <c r="C21" s="4"/>
      <c r="D21" s="4"/>
      <c r="E21" s="4"/>
      <c r="F21" s="4"/>
      <c r="G21" s="4"/>
      <c r="H21" s="4"/>
      <c r="I21" s="4"/>
    </row>
    <row r="22" spans="2:9" ht="13.5" customHeight="1" x14ac:dyDescent="0.3">
      <c r="B22" s="4"/>
      <c r="C22" s="4"/>
      <c r="D22" s="4"/>
      <c r="E22" s="4"/>
      <c r="F22" s="4"/>
      <c r="G22" s="4"/>
      <c r="H22" s="4"/>
      <c r="I22" s="4"/>
    </row>
    <row r="23" spans="2:9" ht="13.5" customHeight="1" x14ac:dyDescent="0.3">
      <c r="B23" s="4"/>
      <c r="C23" s="4"/>
      <c r="D23" s="4"/>
      <c r="E23" s="4"/>
      <c r="F23" s="4"/>
      <c r="G23" s="4"/>
      <c r="H23" s="4"/>
      <c r="I23" s="4"/>
    </row>
    <row r="24" spans="2:9" ht="13.5" customHeight="1" x14ac:dyDescent="0.3">
      <c r="B24" s="4"/>
      <c r="C24" s="4"/>
      <c r="D24" s="4"/>
      <c r="E24" s="4"/>
      <c r="F24" s="4"/>
      <c r="G24" s="4"/>
      <c r="H24" s="4"/>
      <c r="I24" s="4"/>
    </row>
    <row r="25" spans="2:9" ht="13.5" customHeight="1" x14ac:dyDescent="0.3">
      <c r="B25" s="4"/>
      <c r="C25" s="4"/>
      <c r="D25" s="4"/>
      <c r="E25" s="4"/>
      <c r="F25" s="4"/>
      <c r="G25" s="4"/>
      <c r="H25" s="4"/>
      <c r="I25" s="4"/>
    </row>
    <row r="26" spans="2:9" ht="13.5" customHeight="1" x14ac:dyDescent="0.3">
      <c r="B26" s="4"/>
      <c r="C26" s="4"/>
      <c r="D26" s="4"/>
      <c r="E26" s="4"/>
      <c r="F26" s="4"/>
      <c r="G26" s="4"/>
      <c r="H26" s="4"/>
      <c r="I26" s="4"/>
    </row>
    <row r="27" spans="2:9" ht="13.5" customHeight="1" x14ac:dyDescent="0.3">
      <c r="B27" s="4"/>
      <c r="C27" s="4"/>
      <c r="D27" s="4"/>
      <c r="E27" s="4"/>
      <c r="F27" s="4"/>
      <c r="G27" s="4"/>
      <c r="H27" s="4"/>
      <c r="I27" s="4"/>
    </row>
    <row r="28" spans="2:9" ht="13.5" customHeight="1" x14ac:dyDescent="0.3">
      <c r="B28" s="4"/>
      <c r="C28" s="4"/>
      <c r="D28" s="4"/>
      <c r="E28" s="4"/>
      <c r="F28" s="4"/>
      <c r="G28" s="4"/>
      <c r="H28" s="4"/>
      <c r="I28" s="4"/>
    </row>
    <row r="29" spans="2:9" ht="13.5" customHeight="1" x14ac:dyDescent="0.3">
      <c r="B29" s="4"/>
      <c r="C29" s="4"/>
      <c r="D29" s="4"/>
      <c r="E29" s="4"/>
      <c r="F29" s="4"/>
      <c r="G29" s="4"/>
      <c r="H29" s="4"/>
      <c r="I29" s="4"/>
    </row>
    <row r="30" spans="2:9" ht="13.5" customHeight="1" x14ac:dyDescent="0.3">
      <c r="B30" s="4"/>
      <c r="C30" s="4"/>
      <c r="D30" s="4"/>
      <c r="E30" s="4"/>
      <c r="F30" s="4"/>
      <c r="G30" s="4"/>
      <c r="H30" s="4"/>
      <c r="I30" s="4"/>
    </row>
    <row r="31" spans="2:9" ht="13.5" customHeight="1" x14ac:dyDescent="0.3">
      <c r="B31" s="4"/>
      <c r="C31" s="4"/>
      <c r="D31" s="4"/>
      <c r="E31" s="4"/>
      <c r="F31" s="4"/>
      <c r="G31" s="4"/>
      <c r="H31" s="4"/>
      <c r="I31" s="4"/>
    </row>
    <row r="32" spans="2:9" ht="13.5" customHeight="1" x14ac:dyDescent="0.3">
      <c r="B32" s="4"/>
      <c r="C32" s="4"/>
      <c r="D32" s="4"/>
      <c r="E32" s="4"/>
      <c r="F32" s="4"/>
      <c r="G32" s="4"/>
      <c r="H32" s="4"/>
      <c r="I32" s="4"/>
    </row>
    <row r="33" spans="2:9" ht="13.5" customHeight="1" x14ac:dyDescent="0.3">
      <c r="B33" s="4"/>
      <c r="C33" s="4"/>
      <c r="D33" s="4"/>
      <c r="E33" s="4"/>
      <c r="F33" s="4"/>
      <c r="G33" s="4"/>
      <c r="H33" s="4"/>
      <c r="I33" s="4"/>
    </row>
    <row r="34" spans="2:9" ht="13.5" customHeight="1" x14ac:dyDescent="0.3">
      <c r="B34" s="4"/>
      <c r="C34" s="4"/>
      <c r="D34" s="4"/>
      <c r="E34" s="4"/>
      <c r="F34" s="4"/>
      <c r="G34" s="4"/>
      <c r="H34" s="4"/>
      <c r="I34" s="4"/>
    </row>
    <row r="35" spans="2:9" ht="13.5" customHeight="1" x14ac:dyDescent="0.3">
      <c r="B35" s="4"/>
      <c r="C35" s="4"/>
      <c r="D35" s="4"/>
      <c r="E35" s="4"/>
      <c r="F35" s="4"/>
      <c r="G35" s="4"/>
      <c r="H35" s="4"/>
      <c r="I35" s="4"/>
    </row>
    <row r="36" spans="2:9" ht="13.5" customHeight="1" x14ac:dyDescent="0.3">
      <c r="B36" s="4"/>
      <c r="C36" s="4"/>
      <c r="D36" s="4"/>
      <c r="E36" s="4"/>
      <c r="F36" s="4"/>
      <c r="G36" s="4"/>
      <c r="H36" s="4"/>
      <c r="I36" s="4"/>
    </row>
    <row r="37" spans="2:9" ht="13.5" customHeight="1" x14ac:dyDescent="0.3">
      <c r="B37" s="4"/>
      <c r="C37" s="4"/>
      <c r="D37" s="4"/>
      <c r="E37" s="4"/>
      <c r="G37" s="4"/>
    </row>
    <row r="38" spans="2:9" ht="13.5" customHeight="1" x14ac:dyDescent="0.3">
      <c r="B38" s="4"/>
      <c r="C38" s="4"/>
      <c r="D38" s="4"/>
      <c r="E38" s="4"/>
      <c r="G38" s="4"/>
    </row>
    <row r="39" spans="2:9" ht="13.5" customHeight="1" x14ac:dyDescent="0.3"/>
    <row r="40" spans="2:9" ht="13.5" customHeight="1" x14ac:dyDescent="0.3"/>
    <row r="41" spans="2:9" ht="13.5" customHeight="1" x14ac:dyDescent="0.3"/>
    <row r="42" spans="2:9" ht="13.5" customHeight="1" x14ac:dyDescent="0.3"/>
    <row r="43" spans="2:9" ht="13.5" customHeight="1" x14ac:dyDescent="0.3"/>
    <row r="44" spans="2:9" ht="13.5" customHeight="1" x14ac:dyDescent="0.3"/>
    <row r="45" spans="2:9" ht="13.5" customHeight="1" x14ac:dyDescent="0.3"/>
    <row r="46" spans="2:9" ht="13.5" customHeight="1" x14ac:dyDescent="0.3"/>
    <row r="47" spans="2:9" ht="13.5" customHeight="1" x14ac:dyDescent="0.3"/>
    <row r="48" spans="2:9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4">
    <mergeCell ref="C6:C8"/>
    <mergeCell ref="E6:E8"/>
    <mergeCell ref="B6:B8"/>
    <mergeCell ref="F3:F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F1000"/>
  <sheetViews>
    <sheetView showGridLines="0" workbookViewId="0"/>
  </sheetViews>
  <sheetFormatPr defaultColWidth="14.44140625" defaultRowHeight="13.8" x14ac:dyDescent="0.3"/>
  <cols>
    <col min="1" max="1" width="4.6640625" customWidth="1"/>
    <col min="2" max="2" width="21.6640625" customWidth="1"/>
    <col min="3" max="3" width="54" customWidth="1"/>
    <col min="4" max="4" width="8.6640625" customWidth="1"/>
    <col min="5" max="5" width="34.5546875" customWidth="1"/>
    <col min="6" max="6" width="53.33203125" customWidth="1"/>
    <col min="7" max="26" width="8.6640625" customWidth="1"/>
  </cols>
  <sheetData>
    <row r="1" spans="2:6" ht="13.5" customHeight="1" x14ac:dyDescent="0.3"/>
    <row r="2" spans="2:6" ht="13.5" customHeight="1" x14ac:dyDescent="0.3"/>
    <row r="3" spans="2:6" ht="13.5" customHeight="1" x14ac:dyDescent="0.3"/>
    <row r="4" spans="2:6" ht="13.5" customHeight="1" x14ac:dyDescent="0.3"/>
    <row r="5" spans="2:6" ht="13.5" customHeight="1" x14ac:dyDescent="0.35">
      <c r="B5" s="20" t="s">
        <v>396</v>
      </c>
    </row>
    <row r="6" spans="2:6" ht="13.5" customHeight="1" x14ac:dyDescent="0.3"/>
    <row r="7" spans="2:6" ht="13.5" customHeight="1" x14ac:dyDescent="0.3">
      <c r="B7" s="3" t="s">
        <v>397</v>
      </c>
      <c r="E7" s="3" t="s">
        <v>398</v>
      </c>
    </row>
    <row r="8" spans="2:6" ht="13.5" customHeight="1" x14ac:dyDescent="0.3">
      <c r="B8" s="24" t="s">
        <v>399</v>
      </c>
      <c r="C8" s="24" t="s">
        <v>400</v>
      </c>
      <c r="E8" s="24" t="s">
        <v>401</v>
      </c>
      <c r="F8" s="24" t="s">
        <v>402</v>
      </c>
    </row>
    <row r="9" spans="2:6" ht="13.5" customHeight="1" x14ac:dyDescent="0.3">
      <c r="B9" s="25" t="s">
        <v>403</v>
      </c>
      <c r="C9" s="26" t="s">
        <v>404</v>
      </c>
      <c r="E9" s="25" t="s">
        <v>405</v>
      </c>
      <c r="F9" s="26" t="s">
        <v>406</v>
      </c>
    </row>
    <row r="10" spans="2:6" ht="13.5" customHeight="1" x14ac:dyDescent="0.3">
      <c r="B10" s="25" t="s">
        <v>407</v>
      </c>
      <c r="C10" s="25" t="s">
        <v>408</v>
      </c>
      <c r="E10" s="25" t="s">
        <v>409</v>
      </c>
      <c r="F10" s="25" t="s">
        <v>410</v>
      </c>
    </row>
    <row r="11" spans="2:6" ht="13.5" customHeight="1" x14ac:dyDescent="0.3">
      <c r="B11" s="25"/>
      <c r="C11" s="25"/>
      <c r="E11" s="25"/>
      <c r="F11" s="25"/>
    </row>
    <row r="12" spans="2:6" ht="13.5" customHeight="1" x14ac:dyDescent="0.3">
      <c r="B12" s="25"/>
      <c r="C12" s="25"/>
      <c r="E12" s="25"/>
      <c r="F12" s="25"/>
    </row>
    <row r="13" spans="2:6" ht="13.5" customHeight="1" x14ac:dyDescent="0.3">
      <c r="B13" s="25"/>
      <c r="C13" s="25"/>
      <c r="E13" s="25"/>
      <c r="F13" s="25"/>
    </row>
    <row r="14" spans="2:6" ht="13.5" customHeight="1" x14ac:dyDescent="0.3">
      <c r="B14" s="25"/>
      <c r="C14" s="25"/>
      <c r="E14" s="25"/>
      <c r="F14" s="25"/>
    </row>
    <row r="15" spans="2:6" ht="13.5" customHeight="1" x14ac:dyDescent="0.3">
      <c r="B15" s="25"/>
      <c r="C15" s="25"/>
      <c r="E15" s="25"/>
      <c r="F15" s="25"/>
    </row>
    <row r="16" spans="2:6" ht="13.5" customHeight="1" x14ac:dyDescent="0.3">
      <c r="B16" s="25"/>
      <c r="C16" s="25"/>
      <c r="E16" s="25"/>
      <c r="F16" s="25"/>
    </row>
    <row r="17" spans="2:6" ht="13.5" customHeight="1" x14ac:dyDescent="0.3">
      <c r="B17" s="25"/>
      <c r="C17" s="25"/>
      <c r="E17" s="25"/>
      <c r="F17" s="25"/>
    </row>
    <row r="18" spans="2:6" ht="13.5" customHeight="1" x14ac:dyDescent="0.3">
      <c r="B18" s="25"/>
      <c r="C18" s="25"/>
      <c r="E18" s="25"/>
      <c r="F18" s="25"/>
    </row>
    <row r="19" spans="2:6" ht="13.5" customHeight="1" x14ac:dyDescent="0.3">
      <c r="B19" s="25"/>
      <c r="C19" s="25"/>
      <c r="E19" s="25"/>
      <c r="F19" s="25"/>
    </row>
    <row r="20" spans="2:6" ht="13.5" customHeight="1" x14ac:dyDescent="0.3">
      <c r="B20" s="25"/>
      <c r="C20" s="25"/>
      <c r="E20" s="25"/>
      <c r="F20" s="25"/>
    </row>
    <row r="21" spans="2:6" ht="13.5" customHeight="1" x14ac:dyDescent="0.3">
      <c r="B21" s="25"/>
      <c r="C21" s="25"/>
      <c r="E21" s="25"/>
      <c r="F21" s="25"/>
    </row>
    <row r="22" spans="2:6" ht="13.5" customHeight="1" x14ac:dyDescent="0.3">
      <c r="B22" s="25"/>
      <c r="C22" s="25"/>
      <c r="E22" s="25"/>
      <c r="F22" s="25"/>
    </row>
    <row r="23" spans="2:6" ht="13.5" customHeight="1" x14ac:dyDescent="0.3">
      <c r="B23" s="25"/>
      <c r="C23" s="25"/>
      <c r="E23" s="25"/>
      <c r="F23" s="25"/>
    </row>
    <row r="24" spans="2:6" ht="13.5" customHeight="1" x14ac:dyDescent="0.3">
      <c r="B24" s="25"/>
      <c r="C24" s="25"/>
      <c r="E24" s="25"/>
      <c r="F24" s="25"/>
    </row>
    <row r="25" spans="2:6" ht="13.5" customHeight="1" x14ac:dyDescent="0.3">
      <c r="B25" s="25"/>
      <c r="C25" s="25"/>
      <c r="E25" s="25"/>
      <c r="F25" s="25"/>
    </row>
    <row r="26" spans="2:6" ht="13.5" customHeight="1" x14ac:dyDescent="0.3">
      <c r="B26" s="6"/>
      <c r="C26" s="6"/>
      <c r="E26" s="6"/>
      <c r="F26" s="6"/>
    </row>
    <row r="27" spans="2:6" ht="13.5" customHeight="1" x14ac:dyDescent="0.3">
      <c r="B27" s="4"/>
      <c r="C27" s="4"/>
      <c r="E27" s="4"/>
      <c r="F27" s="4"/>
    </row>
    <row r="28" spans="2:6" ht="13.5" customHeight="1" x14ac:dyDescent="0.3">
      <c r="B28" s="4"/>
      <c r="C28" s="4"/>
      <c r="E28" s="4"/>
      <c r="F28" s="4"/>
    </row>
    <row r="29" spans="2:6" ht="13.5" customHeight="1" x14ac:dyDescent="0.3">
      <c r="B29" s="4"/>
      <c r="C29" s="4"/>
      <c r="E29" s="4"/>
      <c r="F29" s="4"/>
    </row>
    <row r="30" spans="2:6" ht="13.5" customHeight="1" x14ac:dyDescent="0.3">
      <c r="B30" s="4"/>
      <c r="C30" s="4"/>
      <c r="E30" s="4"/>
      <c r="F30" s="4"/>
    </row>
    <row r="31" spans="2:6" ht="13.5" customHeight="1" x14ac:dyDescent="0.3">
      <c r="B31" s="4"/>
      <c r="C31" s="4"/>
      <c r="E31" s="4"/>
      <c r="F31" s="4"/>
    </row>
    <row r="32" spans="2:6" ht="13.5" customHeight="1" x14ac:dyDescent="0.3">
      <c r="B32" s="4"/>
      <c r="C32" s="4"/>
      <c r="E32" s="4"/>
      <c r="F32" s="4"/>
    </row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hyperlinks>
    <hyperlink ref="C9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0184-6815-4451-ADBF-AE3E93DB668C}">
  <dimension ref="A1"/>
  <sheetViews>
    <sheetView workbookViewId="0"/>
  </sheetViews>
  <sheetFormatPr defaultRowHeight="13.8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Main</vt:lpstr>
      <vt:lpstr>Product Backlog</vt:lpstr>
      <vt:lpstr>Sprint 1 Backlog</vt:lpstr>
      <vt:lpstr>Sprint 1 Reports</vt:lpstr>
      <vt:lpstr>Sprint 2 Backlog</vt:lpstr>
      <vt:lpstr>Sprint 2 Reports</vt:lpstr>
      <vt:lpstr>Sprint 3 Backlog</vt:lpstr>
      <vt:lpstr>Sprint 3 Reports</vt:lpstr>
      <vt:lpstr>Sprint 4 Backlog</vt:lpstr>
      <vt:lpstr>Sprint 4 Reports</vt:lpstr>
      <vt:lpstr>Impediment</vt:lpstr>
      <vt:lpstr>Retrospective</vt:lpstr>
      <vt:lpstr>References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Huy</cp:lastModifiedBy>
  <dcterms:created xsi:type="dcterms:W3CDTF">2026-10-08T12:08:47Z</dcterms:created>
  <dcterms:modified xsi:type="dcterms:W3CDTF">2026-10-16T12:29:09Z</dcterms:modified>
</cp:coreProperties>
</file>